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Anual" sheetId="3" state="visible" r:id="rId5"/>
    <sheet name="Retornos" sheetId="4" state="visible" r:id="rId6"/>
    <sheet name="Suporte" sheetId="5" state="visible" r:id="rId7"/>
    <sheet name="Cenários e sensibilidade" sheetId="6" state="visible" r:id="rId8"/>
    <sheet name="Mensal" sheetId="7" state="visible" r:id="rId9"/>
    <sheet name="Memória de cálculo" sheetId="8" state="visible" r:id="rId10"/>
  </sheets>
  <definedNames>
    <definedName function="false" hidden="false" name="adopt_bench_y" vbProcedure="false">Premissas!$B$76:$F$76</definedName>
    <definedName function="false" hidden="false" name="adopt_mod_y" vbProcedure="false">Premissas!$B$75:$F$75</definedName>
    <definedName function="false" hidden="false" name="arpa_base" vbProcedure="false">Premissas!$B$108</definedName>
    <definedName function="false" hidden="false" name="arpa_cow" vbProcedure="false">Premissas!$B$111</definedName>
    <definedName function="false" hidden="false" name="arpa_ess" vbProcedure="false">Premissas!$B$105</definedName>
    <definedName function="false" hidden="false" name="arpa_pre" vbProcedure="false">Premissas!$B$107</definedName>
    <definedName function="false" hidden="false" name="arpa_pro" vbProcedure="false">Premissas!$B$106</definedName>
    <definedName function="false" hidden="false" name="ask" vbProcedure="false">Premissas!$B$58</definedName>
    <definedName function="false" hidden="false" name="cac_var" vbProcedure="false">Premissas!$B$49</definedName>
    <definedName function="false" hidden="false" name="cc_adm" vbProcedure="false">Premissas!$B$102</definedName>
    <definedName function="false" hidden="false" name="cc_data" vbProcedure="false">Premissas!$B$97</definedName>
    <definedName function="false" hidden="false" name="cc_dev" vbProcedure="false">Premissas!$B$96</definedName>
    <definedName function="false" hidden="false" name="cc_dir" vbProcedure="false">Premissas!$B$94</definedName>
    <definedName function="false" hidden="false" name="cc_mkt" vbProcedure="false">Premissas!$B$101</definedName>
    <definedName function="false" hidden="false" name="cc_prod" vbProcedure="false">Premissas!$B$98</definedName>
    <definedName function="false" hidden="false" name="cc_sales" vbProcedure="false">Premissas!$B$100</definedName>
    <definedName function="false" hidden="false" name="cc_tl" vbProcedure="false">Premissas!$B$95</definedName>
    <definedName function="false" hidden="false" name="cc_zoo" vbProcedure="false">Premissas!$B$99</definedName>
    <definedName function="false" hidden="false" name="churn_m" vbProcedure="false">Premissas!$B$31</definedName>
    <definedName function="false" hidden="false" name="comm" vbProcedure="false">Premissas!$B$50</definedName>
    <definedName function="false" hidden="false" name="conv1" vbProcedure="false">Premissas!$B$51</definedName>
    <definedName function="false" hidden="false" name="conv2" vbProcedure="false">Premissas!$B$52</definedName>
    <definedName function="false" hidden="false" name="c_cs" vbProcedure="false">Premissas!$B$43</definedName>
    <definedName function="false" hidden="false" name="c_n1" vbProcedure="false">Premissas!$B$42</definedName>
    <definedName function="false" hidden="false" name="c_n2" vbProcedure="false">Premissas!$B$44</definedName>
    <definedName function="false" hidden="false" name="c_onb" vbProcedure="false">Premissas!$B$45</definedName>
    <definedName function="false" hidden="false" name="disc" vbProcedure="false">Premissas!$B$9</definedName>
    <definedName function="false" hidden="false" name="dpo" vbProcedure="false">Premissas!$B$8</definedName>
    <definedName function="false" hidden="false" name="dso" vbProcedure="false">Premissas!$B$7</definedName>
    <definedName function="false" hidden="false" name="event_cost_y" vbProcedure="false">Premissas!$B$79:$F$79</definedName>
    <definedName function="false" hidden="false" name="event_month" vbProcedure="false">Premissas!$B$53</definedName>
    <definedName function="false" hidden="false" name="event_rev_y" vbProcedure="false">Premissas!$B$78:$F$78</definedName>
    <definedName function="false" hidden="false" name="f_churn" vbProcedure="false">Premissas!$E$68</definedName>
    <definedName function="false" hidden="false" name="f_new" vbProcedure="false">Premissas!$E$67</definedName>
    <definedName function="false" hidden="false" name="f_price" vbProcedure="false">Premissas!$E$69</definedName>
    <definedName function="false" hidden="false" name="ga_y" vbProcedure="false">Premissas!$B$82:$F$82</definedName>
    <definedName function="false" hidden="false" name="hc_adm" vbProcedure="false">Premissas!$B$92:$F$92</definedName>
    <definedName function="false" hidden="false" name="hc_data" vbProcedure="false">Premissas!$B$87:$F$87</definedName>
    <definedName function="false" hidden="false" name="hc_dev" vbProcedure="false">Premissas!$B$86:$F$86</definedName>
    <definedName function="false" hidden="false" name="hc_dir" vbProcedure="false">Premissas!$B$84:$F$84</definedName>
    <definedName function="false" hidden="false" name="hc_mkt" vbProcedure="false">Premissas!$B$91:$F$91</definedName>
    <definedName function="false" hidden="false" name="hc_prod" vbProcedure="false">Premissas!$B$88:$F$88</definedName>
    <definedName function="false" hidden="false" name="hc_sales" vbProcedure="false">Premissas!$B$90:$F$90</definedName>
    <definedName function="false" hidden="false" name="hc_tl" vbProcedure="false">Premissas!$B$85:$F$85</definedName>
    <definedName function="false" hidden="false" name="hc_zoo" vbProcedure="false">Premissas!$B$89:$F$89</definedName>
    <definedName function="false" hidden="false" name="herd_avg" vbProcedure="false">Premissas!$B$109</definedName>
    <definedName function="false" hidden="false" name="herd_ess" vbProcedure="false">Premissas!$B$15</definedName>
    <definedName function="false" hidden="false" name="herd_pre" vbProcedure="false">Premissas!$B$17</definedName>
    <definedName function="false" hidden="false" name="herd_pro" vbProcedure="false">Premissas!$B$16</definedName>
    <definedName function="false" hidden="false" name="infra_fix" vbProcedure="false">Premissas!$B$35</definedName>
    <definedName function="false" hidden="false" name="infra_var" vbProcedure="false">Premissas!$B$33</definedName>
    <definedName function="false" hidden="false" name="launch_month" vbProcedure="false">Premissas!$B$5</definedName>
    <definedName function="false" hidden="false" name="min_ess" vbProcedure="false">Premissas!$B$21</definedName>
    <definedName function="false" hidden="false" name="min_pre" vbProcedure="false">Premissas!$B$23</definedName>
    <definedName function="false" hidden="false" name="min_pro" vbProcedure="false">Premissas!$B$22</definedName>
    <definedName function="false" hidden="false" name="mix_ess" vbProcedure="false">Premissas!$B$12</definedName>
    <definedName function="false" hidden="false" name="mix_pre" vbProcedure="false">Premissas!$B$14</definedName>
    <definedName function="false" hidden="false" name="mix_pro" vbProcedure="false">Premissas!$B$13</definedName>
    <definedName function="false" hidden="false" name="mkt_fix_y" vbProcedure="false">Premissas!$B$81:$F$81</definedName>
    <definedName function="false" hidden="false" name="msg" vbProcedure="false">Premissas!$B$34</definedName>
    <definedName function="false" hidden="false" name="n1_from" vbProcedure="false">Premissas!$B$41</definedName>
    <definedName function="false" hidden="false" name="new_cons_y" vbProcedure="false">Premissas!$B$77:$F$77</definedName>
    <definedName function="false" hidden="false" name="new_farms_y" vbProcedure="false">Premissas!$B$73:$F$73</definedName>
    <definedName function="false" hidden="false" name="oneoff_m" vbProcedure="false">Premissas!$B$115:$B$123</definedName>
    <definedName function="false" hidden="false" name="oneoff_v" vbProcedure="false">Premissas!$C$115:$C$123</definedName>
    <definedName function="false" hidden="false" name="price_bench" vbProcedure="false">Premissas!$B$28</definedName>
    <definedName function="false" hidden="false" name="price_cons" vbProcedure="false">Premissas!$B$29</definedName>
    <definedName function="false" hidden="false" name="price_mod" vbProcedure="false">Premissas!$B$27</definedName>
    <definedName function="false" hidden="false" name="p_ess" vbProcedure="false">Premissas!$B$18</definedName>
    <definedName function="false" hidden="false" name="p_pre" vbProcedure="false">Premissas!$B$20</definedName>
    <definedName function="false" hidden="false" name="p_pro" vbProcedure="false">Premissas!$B$19</definedName>
    <definedName function="false" hidden="false" name="reajuste" vbProcedure="false">Premissas!$B$6</definedName>
    <definedName function="false" hidden="false" name="r_cs" vbProcedure="false">Premissas!$B$38</definedName>
    <definedName function="false" hidden="false" name="r_n1" vbProcedure="false">Premissas!$B$37</definedName>
    <definedName function="false" hidden="false" name="r_n2" vbProcedure="false">Premissas!$B$39</definedName>
    <definedName function="false" hidden="false" name="r_onb" vbProcedure="false">Premissas!$B$40</definedName>
    <definedName function="false" hidden="false" name="scenario" vbProcedure="false">Premissas!$B$55</definedName>
    <definedName function="false" hidden="false" name="setup_avg" vbProcedure="false">Premissas!$B$110</definedName>
    <definedName function="false" hidden="false" name="set_ess" vbProcedure="false">Premissas!$B$24</definedName>
    <definedName function="false" hidden="false" name="set_pre" vbProcedure="false">Premissas!$B$26</definedName>
    <definedName function="false" hidden="false" name="set_pro" vbProcedure="false">Premissas!$B$25</definedName>
    <definedName function="false" hidden="false" name="spons_y" vbProcedure="false">Premissas!$B$80:$F$80</definedName>
    <definedName function="false" hidden="false" name="s_churn" vbProcedure="false">Premissas!$B$57</definedName>
    <definedName function="false" hidden="false" name="s_price" vbProcedure="false">Premissas!$B$56</definedName>
    <definedName function="false" hidden="false" name="t1m" vbProcedure="false">Premissas!$B$59</definedName>
    <definedName function="false" hidden="false" name="t1p" vbProcedure="false">Premissas!$B$60</definedName>
    <definedName function="false" hidden="false" name="t2m" vbProcedure="false">Premissas!$B$61</definedName>
    <definedName function="false" hidden="false" name="t2p" vbProcedure="false">Premissas!$B$62</definedName>
    <definedName function="false" hidden="false" name="t3m" vbProcedure="false">Premissas!$B$63</definedName>
    <definedName function="false" hidden="false" name="t3p" vbProcedure="false">Premissas!$B$64</definedName>
    <definedName function="false" hidden="false" name="tax_y" vbProcedure="false">Premissas!$B$74:$F$74</definedName>
    <definedName function="false" hidden="false" name="tool_farm" vbProcedure="false">Premissas!$B$47</definedName>
    <definedName function="false" hidden="false" name="tool_seat" vbProcedure="false">Premissas!$B$46</definedName>
    <definedName function="false" hidden="false" name="tv_mult" vbProcedure="false">Premissas!$B$10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<sst xmlns="http://schemas.openxmlformats.org/spreadsheetml/2006/main" count="884" uniqueCount="649">
  <si>
    <t xml:space="preserve">DairyUp - Modelo financeiro (60 meses)</t>
  </si>
  <si>
    <t xml:space="preserve">RESUMO EXECUTIVO (cenário base, valores gerados pelo modelo)</t>
  </si>
  <si>
    <t xml:space="preserve">Sistema de gestão da qualidade do leite e do rebanho (DairyUp), assinatura por vaca/mês. Ano 5: 860 fazendas, 146.191 vacas, ARR de R$ 19.456.171, EBITDA de R$ 4.993.036.</t>
  </si>
  <si>
    <t xml:space="preserve">Aporte solicitado: R$ 4.700.000 (3 parcelas por marcos). Necessidade máxima de caixa: R$ 4.044.057. Break-even operacional no mês 32; payback no mês 54.</t>
  </si>
  <si>
    <t xml:space="preserve">VPL com valor residual: R$ 7.476.441; sem valor residual: R$ -226.236. TIR sem valor residual: 22%.</t>
  </si>
  <si>
    <t xml:space="preserve">Decisão: aprovar o investimento e o lançamento comercial no mês 4. Detalhes: aba Anual, Retornos e Cenários e sensibilidade.</t>
  </si>
  <si>
    <t xml:space="preserve">Planilha-mestre do plano de negócios. Todos os números do deck e do documento vêm daqui.</t>
  </si>
  <si>
    <t xml:space="preserve">COMO USAR</t>
  </si>
  <si>
    <t xml:space="preserve">1) Edite apenas as células em AZUL com fundo AMARELO na aba "Premissas". Todas as demais abas são fórmulas.</t>
  </si>
  <si>
    <t xml:space="preserve">2) Para trocar de cenário, altere "Cenário ativo" (1 = Conservador, 2 = Base, 3 = Otimista) na aba Premissas.</t>
  </si>
  <si>
    <t xml:space="preserve">3) A aba "Cenários e sensibilidade" guarda resultados já calculados (valores) dos 3 cenários e das grades de sensibilidade; para atualizá-los depois de mudar premissas, altere o cenário e leia as abas Anual/Retornos.</t>
  </si>
  <si>
    <t xml:space="preserve">ABAS</t>
  </si>
  <si>
    <t xml:space="preserve">Premissas - todas as hipóteses (cada valor com unidade e fonte/observação).</t>
  </si>
  <si>
    <t xml:space="preserve">Mensal - motor de cálculo mês a mês (60 meses): clientes, receita, custos, equipe, caixa.</t>
  </si>
  <si>
    <t xml:space="preserve">Anual - DRE, fluxo de caixa, balanço projetado e indicadores por ano.</t>
  </si>
  <si>
    <t xml:space="preserve">Retornos - break-even, payback, VPL, TIR, necessidade de caixa e investimento por fase.</t>
  </si>
  <si>
    <t xml:space="preserve">Suporte - dimensionamento do suporte por número de fazendas e vacas (escala) e SLAs.</t>
  </si>
  <si>
    <t xml:space="preserve">Memória de cálculo - fórmulas e lógica de cada linha.</t>
  </si>
  <si>
    <t xml:space="preserve">CONVENÇÕES: azul = premissa editável; preto = fórmula; verde = vínculo com outra aba. Moeda: R$ (reais correntes, com reajuste IPCA a partir do ano 2).</t>
  </si>
  <si>
    <t xml:space="preserve">AVISO: todos os valores de mercado, preço, adoção e custo são PREMISSAS de planejamento a validar (entrevistas, pilotos, cotações). Não são dados auditados.</t>
  </si>
  <si>
    <t xml:space="preserve">Simplificações: sem depreciação, juros e imposto sobre lucro (carga tributária incide sobre a receita); desenvolvimento tratado como despesa (sem capitalização); caixa sem rendimento financeiro.</t>
  </si>
  <si>
    <t xml:space="preserve">Premissas (edite as células azuis/amarelas)</t>
  </si>
  <si>
    <t xml:space="preserve">Premissa</t>
  </si>
  <si>
    <t xml:space="preserve">Valor</t>
  </si>
  <si>
    <t xml:space="preserve">Unidade</t>
  </si>
  <si>
    <t xml:space="preserve">Fonte / observação</t>
  </si>
  <si>
    <t xml:space="preserve">Geral</t>
  </si>
  <si>
    <t xml:space="preserve">Mês de lançamento comercial (1º cliente pagante)</t>
  </si>
  <si>
    <t xml:space="preserve">mês</t>
  </si>
  <si>
    <t xml:space="preserve">Marco: MVP endurecido + 3 pilotos concluídos. Premissa de projeto.</t>
  </si>
  <si>
    <t xml:space="preserve">Reajuste anual de preços e salários (IPCA)</t>
  </si>
  <si>
    <t xml:space="preserve">% a.a.</t>
  </si>
  <si>
    <t xml:space="preserve">Premissa; aplicado a partir do ano 2.</t>
  </si>
  <si>
    <t xml:space="preserve">Prazo médio de recebimento</t>
  </si>
  <si>
    <t xml:space="preserve">dias</t>
  </si>
  <si>
    <t xml:space="preserve">Cobrança mensal antecipada via boleto/PIX; premissa.</t>
  </si>
  <si>
    <t xml:space="preserve">Prazo médio de pagamento (fornecedores e encargos)</t>
  </si>
  <si>
    <t xml:space="preserve">Premissa.</t>
  </si>
  <si>
    <t xml:space="preserve">Taxa de desconto (TMA) para VPL</t>
  </si>
  <si>
    <t xml:space="preserve">Premissa de custo de capital de risco para startup de software (Selic + prêmio).</t>
  </si>
  <si>
    <t xml:space="preserve">Múltiplo de valor residual (EV / receita líquida do ano 5)</t>
  </si>
  <si>
    <t xml:space="preserve">x</t>
  </si>
  <si>
    <t xml:space="preserve">Premissa conservadora para SaaS vertical; o VPL é mostrado também SEM valor residual.</t>
  </si>
  <si>
    <t xml:space="preserve">Preços (por plano)</t>
  </si>
  <si>
    <t xml:space="preserve">Mix de fazendas - Essencial</t>
  </si>
  <si>
    <t xml:space="preserve">%</t>
  </si>
  <si>
    <t xml:space="preserve">Premissa. Mix soma 100%.</t>
  </si>
  <si>
    <t xml:space="preserve">Mix de fazendas - Profissional</t>
  </si>
  <si>
    <t xml:space="preserve">Mix de fazendas - Premium</t>
  </si>
  <si>
    <t xml:space="preserve">Calculado: 100% - demais.</t>
  </si>
  <si>
    <t xml:space="preserve">Vacas em lactação por fazenda - Essencial</t>
  </si>
  <si>
    <t xml:space="preserve">vacas</t>
  </si>
  <si>
    <t xml:space="preserve">Premissa: pequeno porte (até ~120 vacas).</t>
  </si>
  <si>
    <t xml:space="preserve">Vacas em lactação por fazenda - Profissional</t>
  </si>
  <si>
    <t xml:space="preserve">Premissa: médio porte (120 a 400). Piloto Mariana: ~300-400 vacas.</t>
  </si>
  <si>
    <t xml:space="preserve">Vacas em lactação por fazenda - Premium</t>
  </si>
  <si>
    <t xml:space="preserve">Premissa: grande porte (acima de 400).</t>
  </si>
  <si>
    <t xml:space="preserve">Preço Essencial por vaca/mês</t>
  </si>
  <si>
    <t xml:space="preserve">R$/vaca/mês</t>
  </si>
  <si>
    <t xml:space="preserve">Premissa; a validar com 10 entrevistas de preço (ver plano).</t>
  </si>
  <si>
    <t xml:space="preserve">Preço Profissional por vaca/mês</t>
  </si>
  <si>
    <t xml:space="preserve">Preço Premium por vaca/mês</t>
  </si>
  <si>
    <t xml:space="preserve">Mensalidade mínima - Essencial</t>
  </si>
  <si>
    <t xml:space="preserve">R$/mês</t>
  </si>
  <si>
    <t xml:space="preserve">Mensalidade mínima - Profissional</t>
  </si>
  <si>
    <t xml:space="preserve">Mensalidade mínima - Premium</t>
  </si>
  <si>
    <t xml:space="preserve">Implantação (taxa única) - Essencial</t>
  </si>
  <si>
    <t xml:space="preserve">R$</t>
  </si>
  <si>
    <t xml:space="preserve">Premissa: importação de histórico + treinamento.</t>
  </si>
  <si>
    <t xml:space="preserve">Implantação (taxa única) - Profissional</t>
  </si>
  <si>
    <t xml:space="preserve">Implantação (taxa única) - Premium</t>
  </si>
  <si>
    <t xml:space="preserve">Módulos premium (ex.: Financeiro, Reprodução) por fazenda/mês</t>
  </si>
  <si>
    <t xml:space="preserve">Benchmark premium por fazenda/mês</t>
  </si>
  <si>
    <t xml:space="preserve">Premissa: comparação anônima entre fazendas.</t>
  </si>
  <si>
    <t xml:space="preserve">Licença de consultor/veterinário por mês</t>
  </si>
  <si>
    <t xml:space="preserve">Premissa: painel multi-fazendas.</t>
  </si>
  <si>
    <t xml:space="preserve">Crescimento e retenção</t>
  </si>
  <si>
    <t xml:space="preserve">Churn mensal de fazendas (cenário base)</t>
  </si>
  <si>
    <t xml:space="preserve">% a.m.</t>
  </si>
  <si>
    <t xml:space="preserve">Premissa (~13,5% ao ano); meta de retenção do plano de sucesso do cliente.</t>
  </si>
  <si>
    <t xml:space="preserve">Custos variáveis e infraestrutura</t>
  </si>
  <si>
    <t xml:space="preserve">Infraestrutura por fazenda (banco isolado, app, backup)</t>
  </si>
  <si>
    <t xml:space="preserve">R$/fazenda/mês</t>
  </si>
  <si>
    <t xml:space="preserve">Premissa: um banco por fazenda (isolamento) na AWS.</t>
  </si>
  <si>
    <t xml:space="preserve">Mensageria (WhatsApp/e-mail/SMS) por fazenda</t>
  </si>
  <si>
    <t xml:space="preserve">Infraestrutura fixa (monitoramento, CI/CD, segredos, backup central)</t>
  </si>
  <si>
    <t xml:space="preserve">Suporte e Sucesso do Cliente (dimensionamento)</t>
  </si>
  <si>
    <t xml:space="preserve">Fazendas por atendente N1</t>
  </si>
  <si>
    <t xml:space="preserve">fazendas</t>
  </si>
  <si>
    <t xml:space="preserve">Premissa de capacidade (chat/WhatsApp, 1ª resposta).</t>
  </si>
  <si>
    <t xml:space="preserve">Fazendas por gerente de sucesso (CS)</t>
  </si>
  <si>
    <t xml:space="preserve">Vacas atendidas por analista zootécnico/vet N2</t>
  </si>
  <si>
    <t xml:space="preserve">Premissa: interpretação de indicadores e protocolos.</t>
  </si>
  <si>
    <t xml:space="preserve">Novas fazendas/mês por especialista de implantação</t>
  </si>
  <si>
    <t xml:space="preserve">fazendas/mês</t>
  </si>
  <si>
    <t xml:space="preserve">Premissa: ~25 h de implantação por fazenda.</t>
  </si>
  <si>
    <t xml:space="preserve">Base de fazendas a partir da qual existe atendente N1 dedicado</t>
  </si>
  <si>
    <t xml:space="preserve">Antes disso o N1 é feito por CS e N2 (equipe enxuta no início).</t>
  </si>
  <si>
    <t xml:space="preserve">Custo mensal N1 (salário + encargos)</t>
  </si>
  <si>
    <t xml:space="preserve">Premissa; valores do ano 1, reajustados.</t>
  </si>
  <si>
    <t xml:space="preserve">Custo mensal CS</t>
  </si>
  <si>
    <t xml:space="preserve">Custo mensal analista zootécnico/veterinário N2</t>
  </si>
  <si>
    <t xml:space="preserve">Custo mensal especialista de implantação</t>
  </si>
  <si>
    <t xml:space="preserve">Ferramentas por atendente (helpdesk, chat, telefonia)</t>
  </si>
  <si>
    <t xml:space="preserve">CRM/CS/base de conhecimento por fazenda</t>
  </si>
  <si>
    <t xml:space="preserve">Aquisição</t>
  </si>
  <si>
    <t xml:space="preserve">Custo variável de aquisição por fazenda (visitas, demonstração, material)</t>
  </si>
  <si>
    <t xml:space="preserve">R$/fazenda</t>
  </si>
  <si>
    <t xml:space="preserve">Comissão de vendas (% do contrato do 1º ano)</t>
  </si>
  <si>
    <t xml:space="preserve">Conversão de lead qualificado em demonstração</t>
  </si>
  <si>
    <t xml:space="preserve">Premissa de funil (a validar nos pilotos).</t>
  </si>
  <si>
    <t xml:space="preserve">Conversão de demonstração em cliente pagante</t>
  </si>
  <si>
    <t xml:space="preserve">Premissa de funil.</t>
  </si>
  <si>
    <t xml:space="preserve">Mês do ano do evento anual (1-12)</t>
  </si>
  <si>
    <t xml:space="preserve">Cenários (multiplicadores)</t>
  </si>
  <si>
    <t xml:space="preserve">Cenário ativo (1 = Conservador, 2 = Base, 3 = Otimista)</t>
  </si>
  <si>
    <t xml:space="preserve">1/2/3</t>
  </si>
  <si>
    <t xml:space="preserve">ALTERE AQUI para trocar o cenário.</t>
  </si>
  <si>
    <t xml:space="preserve">Sensibilidade: fator de preço adicional</t>
  </si>
  <si>
    <t xml:space="preserve">Use 1,00 para o caso padrão.</t>
  </si>
  <si>
    <t xml:space="preserve">Sensibilidade: fator de churn adicional</t>
  </si>
  <si>
    <t xml:space="preserve">APORTE SOLICITADO (investimento total)</t>
  </si>
  <si>
    <t xml:space="preserve">Decisão da diretoria. Definido a partir da necessidade do caso base + folga.</t>
  </si>
  <si>
    <t xml:space="preserve">Aporte - parcela 1: mês</t>
  </si>
  <si>
    <t xml:space="preserve">Liberação por marcos (tranches).</t>
  </si>
  <si>
    <t xml:space="preserve">Aporte - parcela 1: % do total</t>
  </si>
  <si>
    <t xml:space="preserve">Aporte - parcela 2: mês</t>
  </si>
  <si>
    <t xml:space="preserve">Condicionada ao marco: 15 fazendas pagantes.</t>
  </si>
  <si>
    <t xml:space="preserve">Aporte - parcela 2: % do total</t>
  </si>
  <si>
    <t xml:space="preserve">Aporte - parcela 3: mês</t>
  </si>
  <si>
    <t xml:space="preserve">Condicionada ao marco: R$ 1,5 mi de ARR.</t>
  </si>
  <si>
    <t xml:space="preserve">Aporte - parcela 3: % do total</t>
  </si>
  <si>
    <t xml:space="preserve">Calculado: restante.</t>
  </si>
  <si>
    <t xml:space="preserve">Tabela de cenários</t>
  </si>
  <si>
    <t xml:space="preserve">Multiplicador</t>
  </si>
  <si>
    <t xml:space="preserve">Conservador</t>
  </si>
  <si>
    <t xml:space="preserve">Base</t>
  </si>
  <si>
    <t xml:space="preserve">Otimista</t>
  </si>
  <si>
    <t xml:space="preserve">Ativo</t>
  </si>
  <si>
    <t xml:space="preserve">Novas fazendas (multiplicador)</t>
  </si>
  <si>
    <t xml:space="preserve">Churn (multiplicador)</t>
  </si>
  <si>
    <t xml:space="preserve">Preço/ARPA (multiplicador)</t>
  </si>
  <si>
    <t xml:space="preserve">Vetor por ano</t>
  </si>
  <si>
    <t xml:space="preserve">Ano 1</t>
  </si>
  <si>
    <t xml:space="preserve">Ano 2</t>
  </si>
  <si>
    <t xml:space="preserve">Ano 3</t>
  </si>
  <si>
    <t xml:space="preserve">Ano 4</t>
  </si>
  <si>
    <t xml:space="preserve">Ano 5</t>
  </si>
  <si>
    <t xml:space="preserve">Vetores por ano</t>
  </si>
  <si>
    <t xml:space="preserve">Novas fazendas por mês (cenário base, após o lançamento)</t>
  </si>
  <si>
    <t xml:space="preserve">Premissa: funil comercial (ver seção de vendas). Ano 1 considera início no mês de lançamento.</t>
  </si>
  <si>
    <t xml:space="preserve">Tributos sobre receita (Simples/Presumido + ISS)</t>
  </si>
  <si>
    <t xml:space="preserve">% receita</t>
  </si>
  <si>
    <t xml:space="preserve">Estimativa: validar com contador (mudança de regime acima de R$ 4,8 mi/ano).</t>
  </si>
  <si>
    <t xml:space="preserve">Adoção de módulos premium (% das fazendas)</t>
  </si>
  <si>
    <t xml:space="preserve">Adoção do benchmark premium (% das fazendas)</t>
  </si>
  <si>
    <t xml:space="preserve">Novas licenças de consultor por mês</t>
  </si>
  <si>
    <t xml:space="preserve">licenças/mês</t>
  </si>
  <si>
    <t xml:space="preserve">Receita do evento anual (ingressos)</t>
  </si>
  <si>
    <t xml:space="preserve">R$/ano</t>
  </si>
  <si>
    <t xml:space="preserve">Premissa: 150 a 700 participantes x R$ 400.</t>
  </si>
  <si>
    <t xml:space="preserve">Custo do evento anual</t>
  </si>
  <si>
    <t xml:space="preserve">Patrocínios e convênios (laticínios, nutrição, genética)</t>
  </si>
  <si>
    <t xml:space="preserve">Premissa; receita contratada por ano, reconhecida mensalmente.</t>
  </si>
  <si>
    <t xml:space="preserve">Marketing fixo (conteúdo, mídia, feiras)</t>
  </si>
  <si>
    <t xml:space="preserve">Despesas gerais e administrativas fixas</t>
  </si>
  <si>
    <t xml:space="preserve">Contabilidade, jurídico, seguros, espaço, ferramentas. Premissa.</t>
  </si>
  <si>
    <t xml:space="preserve">Equipe fixa (headcount por ano) - o time de suporte é calculado pelo número de fazendas/vacas</t>
  </si>
  <si>
    <t xml:space="preserve">Direção / gestão geral</t>
  </si>
  <si>
    <t xml:space="preserve">pessoas</t>
  </si>
  <si>
    <t xml:space="preserve">Tech lead / arquitetura</t>
  </si>
  <si>
    <t xml:space="preserve">Desenvolvedores</t>
  </si>
  <si>
    <t xml:space="preserve">Dados / IA / benchmark</t>
  </si>
  <si>
    <t xml:space="preserve">Produto / design</t>
  </si>
  <si>
    <t xml:space="preserve">Zootecnia/veterinária (conteúdo, protocolos, benchmark)</t>
  </si>
  <si>
    <t xml:space="preserve">Executivos de vendas</t>
  </si>
  <si>
    <t xml:space="preserve">Marketing / comunidade</t>
  </si>
  <si>
    <t xml:space="preserve">Administrativo / financeiro</t>
  </si>
  <si>
    <t xml:space="preserve">Custo mensal por pessoa (salário + encargos, valores do ano 1)</t>
  </si>
  <si>
    <t xml:space="preserve">Tech lead</t>
  </si>
  <si>
    <t xml:space="preserve">Desenvolvedor</t>
  </si>
  <si>
    <t xml:space="preserve">Dados / IA</t>
  </si>
  <si>
    <t xml:space="preserve">Zootecnista / veterinário</t>
  </si>
  <si>
    <t xml:space="preserve">Executivo de vendas (fixo)</t>
  </si>
  <si>
    <t xml:space="preserve">Premissa (+ comissão).</t>
  </si>
  <si>
    <t xml:space="preserve">Derivados (cálculo)</t>
  </si>
  <si>
    <t xml:space="preserve">Mensalidade média - Essencial</t>
  </si>
  <si>
    <t xml:space="preserve">MAIOR entre o mínimo e (vacas x preço por vaca)</t>
  </si>
  <si>
    <t xml:space="preserve">Mensalidade média - Profissional</t>
  </si>
  <si>
    <t xml:space="preserve">Mensalidade média - Premium</t>
  </si>
  <si>
    <t xml:space="preserve">Mensalidade média por fazenda (ARPA de assinatura, ano 1)</t>
  </si>
  <si>
    <t xml:space="preserve">Média ponderada pelo mix de fazendas</t>
  </si>
  <si>
    <t xml:space="preserve">Vacas em lactação por fazenda (média ponderada)</t>
  </si>
  <si>
    <t xml:space="preserve">Implantação média por fazenda (ano 1)</t>
  </si>
  <si>
    <t xml:space="preserve">Receita de assinatura por vaca/mês (média)</t>
  </si>
  <si>
    <t xml:space="preserve">Indicador de posicionamento de preço</t>
  </si>
  <si>
    <t xml:space="preserve">Itens pontuais (despesas não recorrentes)</t>
  </si>
  <si>
    <t xml:space="preserve">Descrição</t>
  </si>
  <si>
    <t xml:space="preserve">Mês</t>
  </si>
  <si>
    <t xml:space="preserve">Valor (R$)</t>
  </si>
  <si>
    <t xml:space="preserve">Registro de marca e domínio (INPI)</t>
  </si>
  <si>
    <t xml:space="preserve">Jurídico: contratos, termos de uso, política de privacidade, DPO terceirizado (LGPD)</t>
  </si>
  <si>
    <t xml:space="preserve">Endurecimento de segurança e migração para AWS (consultoria)</t>
  </si>
  <si>
    <t xml:space="preserve">Teste de invasão (pentest) externo</t>
  </si>
  <si>
    <t xml:space="preserve">Pentest anual + auditoria LGPD</t>
  </si>
  <si>
    <t xml:space="preserve">Kit de lançamento: vídeos, site, materiais e treinamentos</t>
  </si>
  <si>
    <t xml:space="preserve">DRE, fluxo de caixa, balanço e indicadores (anual)</t>
  </si>
  <si>
    <t xml:space="preserve">R$ (exceto onde indicado)</t>
  </si>
  <si>
    <t xml:space="preserve">DEMONSTRAÇÃO DO RESULTADO (DRE)</t>
  </si>
  <si>
    <t xml:space="preserve">Assinaturas (por vaca/mês)</t>
  </si>
  <si>
    <t xml:space="preserve">Implantação</t>
  </si>
  <si>
    <t xml:space="preserve">Módulos premium</t>
  </si>
  <si>
    <t xml:space="preserve">Benchmark premium</t>
  </si>
  <si>
    <t xml:space="preserve">Licenças para consultores</t>
  </si>
  <si>
    <t xml:space="preserve">Evento anual</t>
  </si>
  <si>
    <t xml:space="preserve">Patrocínios e convênios</t>
  </si>
  <si>
    <t xml:space="preserve">Receita bruta</t>
  </si>
  <si>
    <t xml:space="preserve">(-) Tributos sobre a receita</t>
  </si>
  <si>
    <t xml:space="preserve">Receita líquida</t>
  </si>
  <si>
    <t xml:space="preserve">(-) Infraestrutura variável</t>
  </si>
  <si>
    <t xml:space="preserve">(-) Mensageria</t>
  </si>
  <si>
    <t xml:space="preserve">(-) Infraestrutura fixa</t>
  </si>
  <si>
    <t xml:space="preserve">(-) Equipe de suporte e sucesso</t>
  </si>
  <si>
    <t xml:space="preserve">(-) Ferramentas de suporte</t>
  </si>
  <si>
    <t xml:space="preserve">Custo dos serviços</t>
  </si>
  <si>
    <t xml:space="preserve">Lucro bruto</t>
  </si>
  <si>
    <t xml:space="preserve">Margem bruta (% da receita líquida)</t>
  </si>
  <si>
    <t xml:space="preserve">(-) Equipe fixa (direção, tecnologia, produto, dados, zootecnia, vendas, marketing, administrativo)</t>
  </si>
  <si>
    <t xml:space="preserve">(-) Comissões de vendas</t>
  </si>
  <si>
    <t xml:space="preserve">(-) Aquisição (custo variável)</t>
  </si>
  <si>
    <t xml:space="preserve">(-) Marketing fixo</t>
  </si>
  <si>
    <t xml:space="preserve">(-) Custo do evento</t>
  </si>
  <si>
    <t xml:space="preserve">(-) Gerais e administrativas</t>
  </si>
  <si>
    <t xml:space="preserve">(-) Itens pontuais</t>
  </si>
  <si>
    <t xml:space="preserve">Despesas operacionais</t>
  </si>
  <si>
    <t xml:space="preserve">EBITDA / resultado líquido</t>
  </si>
  <si>
    <t xml:space="preserve">Margem EBITDA (% da receita líquida)</t>
  </si>
  <si>
    <t xml:space="preserve">FLUXO DE CAIXA</t>
  </si>
  <si>
    <t xml:space="preserve">EBITDA</t>
  </si>
  <si>
    <t xml:space="preserve">Variação do capital de giro</t>
  </si>
  <si>
    <t xml:space="preserve">Fluxo de caixa operacional (antes de aportes)</t>
  </si>
  <si>
    <t xml:space="preserve">Aportes de capital</t>
  </si>
  <si>
    <t xml:space="preserve">Variação líquida de caixa</t>
  </si>
  <si>
    <t xml:space="preserve">Caixa final (com aportes)</t>
  </si>
  <si>
    <t xml:space="preserve">Caixa acumulado antes de aportes</t>
  </si>
  <si>
    <t xml:space="preserve">BALANÇO PROJETADO (fim do ano)</t>
  </si>
  <si>
    <t xml:space="preserve">Caixa</t>
  </si>
  <si>
    <t xml:space="preserve">Contas a receber</t>
  </si>
  <si>
    <t xml:space="preserve">ATIVO TOTAL</t>
  </si>
  <si>
    <t xml:space="preserve">Contas a pagar (fornecedores e encargos)</t>
  </si>
  <si>
    <t xml:space="preserve">Capital integralizado (aportes acumulados)</t>
  </si>
  <si>
    <t xml:space="preserve">Lucros (prejuízos) acumulados</t>
  </si>
  <si>
    <t xml:space="preserve">Patrimônio líquido</t>
  </si>
  <si>
    <t xml:space="preserve">PASSIVO + PATRIMÔNIO LÍQUIDO</t>
  </si>
  <si>
    <t xml:space="preserve">Conferência (ativo - passivo - PL; deve ser 0)</t>
  </si>
  <si>
    <t xml:space="preserve">INDICADORES</t>
  </si>
  <si>
    <t xml:space="preserve">Fazendas ativas (fim do ano)</t>
  </si>
  <si>
    <t xml:space="preserve">Novas fazendas no ano</t>
  </si>
  <si>
    <t xml:space="preserve">Fazendas perdidas no ano</t>
  </si>
  <si>
    <t xml:space="preserve">Vacas em lactação atendidas (fim do ano)</t>
  </si>
  <si>
    <t xml:space="preserve">Licenças de consultor (fim do ano)</t>
  </si>
  <si>
    <t xml:space="preserve">Mensalidade média por fazenda (dez)</t>
  </si>
  <si>
    <t xml:space="preserve">ARR - receita recorrente anualizada (dez x 12)</t>
  </si>
  <si>
    <t xml:space="preserve">Churn anual de fazendas (efetivo)</t>
  </si>
  <si>
    <t xml:space="preserve">Headcount fixo (fim do ano)</t>
  </si>
  <si>
    <t xml:space="preserve">Headcount de suporte e sucesso (fim do ano)</t>
  </si>
  <si>
    <t xml:space="preserve">Headcount total (fim do ano)</t>
  </si>
  <si>
    <t xml:space="preserve">Custo de suporte e sucesso (equipe + ferramentas)</t>
  </si>
  <si>
    <t xml:space="preserve">Fazendas-mês faturadas</t>
  </si>
  <si>
    <t xml:space="preserve">Custo de suporte por fazenda/mês</t>
  </si>
  <si>
    <t xml:space="preserve">Custo de suporte por vaca/mês</t>
  </si>
  <si>
    <t xml:space="preserve">Custo de suporte (% da receita líquida)</t>
  </si>
  <si>
    <t xml:space="preserve">ARPA de assinatura do ano (R$/fazenda/mês)</t>
  </si>
  <si>
    <t xml:space="preserve">Custo variável por fazenda/mês (infra, mensageria, suporte, ferramentas)</t>
  </si>
  <si>
    <t xml:space="preserve">Contribuição por fazenda/mês</t>
  </si>
  <si>
    <t xml:space="preserve">CAC combinado (vendas, comissão, aquisição e marketing / novas fazendas)</t>
  </si>
  <si>
    <t xml:space="preserve">LTV (contribuição / churn mensal)</t>
  </si>
  <si>
    <t xml:space="preserve">LTV / CAC</t>
  </si>
  <si>
    <t xml:space="preserve">Payback do CAC (meses)</t>
  </si>
  <si>
    <t xml:space="preserve">Demonstrações necessárias no ano (novas fazendas / conversão)</t>
  </si>
  <si>
    <t xml:space="preserve">Leads qualificados necessários no ano</t>
  </si>
  <si>
    <t xml:space="preserve">Receita líquida por vaca atendida/ano (média)</t>
  </si>
  <si>
    <t xml:space="preserve">Retornos, break-even, necessidade de caixa e investimento por fase</t>
  </si>
  <si>
    <t xml:space="preserve">Indicador</t>
  </si>
  <si>
    <t xml:space="preserve">Observação</t>
  </si>
  <si>
    <t xml:space="preserve">Necessidade máxima de caixa (queima acumulada antes de aportes)</t>
  </si>
  <si>
    <t xml:space="preserve">Pico negativo do caixa acumulado.</t>
  </si>
  <si>
    <t xml:space="preserve">Aporte solicitado</t>
  </si>
  <si>
    <t xml:space="preserve">Premissa (decisão da diretoria).</t>
  </si>
  <si>
    <t xml:space="preserve">Folga do aporte sobre a necessidade</t>
  </si>
  <si>
    <t xml:space="preserve">Colchão para atrasos de vendas.</t>
  </si>
  <si>
    <t xml:space="preserve">Caixa mínimo com aportes</t>
  </si>
  <si>
    <t xml:space="preserve">Negativo = falta de caixa neste cenário.</t>
  </si>
  <si>
    <t xml:space="preserve">Mês do ponto mínimo (antes de aportes)</t>
  </si>
  <si>
    <t xml:space="preserve">Break-even operacional (1º mês com EBITDA positivo)</t>
  </si>
  <si>
    <t xml:space="preserve">Mês do plano.</t>
  </si>
  <si>
    <t xml:space="preserve">Payback do investimento (caixa acumulado volta a zero)</t>
  </si>
  <si>
    <t xml:space="preserve">Mês do plano; "&gt; 60" = não ocorre em 5 anos.</t>
  </si>
  <si>
    <t xml:space="preserve">Fluxo de caixa livre (antes de aportes)</t>
  </si>
  <si>
    <t xml:space="preserve">Fluxo operacional do ano</t>
  </si>
  <si>
    <t xml:space="preserve">(+) Valor residual no ano 5 (múltiplo x receita líquida)</t>
  </si>
  <si>
    <t xml:space="preserve">Fluxo com valor residual</t>
  </si>
  <si>
    <t xml:space="preserve">VPL sem valor residual (a TMA)</t>
  </si>
  <si>
    <t xml:space="preserve">Desconto anual, fluxos no fim de cada ano.</t>
  </si>
  <si>
    <t xml:space="preserve">VPL com valor residual (a TMA)</t>
  </si>
  <si>
    <t xml:space="preserve">TIR sem valor residual</t>
  </si>
  <si>
    <t xml:space="preserve">"n/d" = fluxos sem inversão de sinal.</t>
  </si>
  <si>
    <t xml:space="preserve">TIR com valor residual</t>
  </si>
  <si>
    <t xml:space="preserve">Investimento (consumo de caixa) por fase</t>
  </si>
  <si>
    <t xml:space="preserve">Mês inicial</t>
  </si>
  <si>
    <t xml:space="preserve">Mês final</t>
  </si>
  <si>
    <t xml:space="preserve">Consumo(-)/geração(+) de caixa</t>
  </si>
  <si>
    <t xml:space="preserve">Fazendas ao fim da fase</t>
  </si>
  <si>
    <t xml:space="preserve">ARR ao fim da fase</t>
  </si>
  <si>
    <t xml:space="preserve">Fase 1 - Fundação e pilotos (M1-M6)</t>
  </si>
  <si>
    <t xml:space="preserve">Fase 2 - Lançamento comercial (M7-M18)</t>
  </si>
  <si>
    <t xml:space="preserve">Fase 3 - Escala regional (M19-M36)</t>
  </si>
  <si>
    <t xml:space="preserve">Fase 4 - Expansão e plataforma (M37-M60)</t>
  </si>
  <si>
    <t xml:space="preserve">Total</t>
  </si>
  <si>
    <t xml:space="preserve">Suporte e Sucesso do Cliente: dimensionamento por fazendas e vacas</t>
  </si>
  <si>
    <t xml:space="preserve">Valores do ano 1 (sem reajuste). Edite as fazendas em azul; a equipe, o custo e a margem escalam por fórmula usando as razões da aba Premissas.</t>
  </si>
  <si>
    <t xml:space="preserve">Dimensionamento (mensal)</t>
  </si>
  <si>
    <t xml:space="preserve">Cenário A</t>
  </si>
  <si>
    <t xml:space="preserve">Cenário B</t>
  </si>
  <si>
    <t xml:space="preserve">Cenário C</t>
  </si>
  <si>
    <t xml:space="preserve">Cenário D</t>
  </si>
  <si>
    <t xml:space="preserve">Cenário E</t>
  </si>
  <si>
    <t xml:space="preserve">Cenário F</t>
  </si>
  <si>
    <t xml:space="preserve">Fazendas ativas</t>
  </si>
  <si>
    <t xml:space="preserve">Vacas atendidas</t>
  </si>
  <si>
    <t xml:space="preserve">Novas fazendas por mês (premissa: 5% da base)</t>
  </si>
  <si>
    <t xml:space="preserve">Atendentes N1</t>
  </si>
  <si>
    <t xml:space="preserve">Gerentes de sucesso (CS)</t>
  </si>
  <si>
    <t xml:space="preserve">Analistas zootécnicos/vet N2</t>
  </si>
  <si>
    <t xml:space="preserve">Especialistas de implantação</t>
  </si>
  <si>
    <t xml:space="preserve">Total de pessoas em suporte e sucesso</t>
  </si>
  <si>
    <t xml:space="preserve">Custo da equipe</t>
  </si>
  <si>
    <t xml:space="preserve">Custo de ferramentas</t>
  </si>
  <si>
    <t xml:space="preserve">Infra e mensageria por fazenda (variável)</t>
  </si>
  <si>
    <t xml:space="preserve">Custo total de suporte, sucesso e operação por cliente</t>
  </si>
  <si>
    <t xml:space="preserve">Custo por fazenda/mês</t>
  </si>
  <si>
    <t xml:space="preserve">Custo por vaca/mês</t>
  </si>
  <si>
    <t xml:space="preserve">Receita de assinatura por fazenda/mês (ARPA)</t>
  </si>
  <si>
    <t xml:space="preserve">Custo de suporte e operação (% da assinatura)</t>
  </si>
  <si>
    <t xml:space="preserve">Fazendas por pessoa de suporte e sucesso</t>
  </si>
  <si>
    <t xml:space="preserve">Nota: a linha "Custo total ... por cliente" inclui N1, CS, N2, implantação, ferramentas, infraestrutura e mensageria; as despesas de N3 (engenharia) estão no time de desenvolvimento.</t>
  </si>
  <si>
    <t xml:space="preserve">SLAs POR PLANO (horário de atendimento e prazos)</t>
  </si>
  <si>
    <t xml:space="preserve">Item</t>
  </si>
  <si>
    <t xml:space="preserve">Essencial</t>
  </si>
  <si>
    <t xml:space="preserve">Profissional</t>
  </si>
  <si>
    <t xml:space="preserve">Premium</t>
  </si>
  <si>
    <t xml:space="preserve">Canais</t>
  </si>
  <si>
    <t xml:space="preserve">Chat no app, e-mail, base de conhecimento</t>
  </si>
  <si>
    <t xml:space="preserve">+ WhatsApp</t>
  </si>
  <si>
    <t xml:space="preserve">+ telefone e WhatsApp prioritário, gerente de sucesso dedicado</t>
  </si>
  <si>
    <t xml:space="preserve">Horário de atendimento</t>
  </si>
  <si>
    <t xml:space="preserve">Seg-Sex 8h-18h</t>
  </si>
  <si>
    <t xml:space="preserve">Seg-Sáb 6h-19h</t>
  </si>
  <si>
    <t xml:space="preserve">Seg-Sáb 6h-20h + plantão P1 24x7</t>
  </si>
  <si>
    <t xml:space="preserve">P1 Crítica (sistema fora do ar / dados incorretos): 1ª resposta</t>
  </si>
  <si>
    <t xml:space="preserve">4 h úteis</t>
  </si>
  <si>
    <t xml:space="preserve">1 h</t>
  </si>
  <si>
    <t xml:space="preserve">30 min (24x7)</t>
  </si>
  <si>
    <t xml:space="preserve">P1 Crítica: meta de resolução</t>
  </si>
  <si>
    <t xml:space="preserve">24 h</t>
  </si>
  <si>
    <t xml:space="preserve">8 h</t>
  </si>
  <si>
    <t xml:space="preserve">4 h</t>
  </si>
  <si>
    <t xml:space="preserve">P2 Alta (função principal degradada, importação falha): 1ª resposta</t>
  </si>
  <si>
    <t xml:space="preserve">8 h úteis</t>
  </si>
  <si>
    <t xml:space="preserve">2 h</t>
  </si>
  <si>
    <t xml:space="preserve">P2 Alta: meta de resolução</t>
  </si>
  <si>
    <t xml:space="preserve">3 dias úteis</t>
  </si>
  <si>
    <t xml:space="preserve">2 dias úteis</t>
  </si>
  <si>
    <t xml:space="preserve">1 dia útil</t>
  </si>
  <si>
    <t xml:space="preserve">P3 Média (dúvida de uso, falha com contorno): 1ª resposta</t>
  </si>
  <si>
    <t xml:space="preserve">P3 Média: meta de resolução</t>
  </si>
  <si>
    <t xml:space="preserve">5 dias úteis</t>
  </si>
  <si>
    <t xml:space="preserve">P4 Baixa (sugestão, melhoria): 1ª resposta</t>
  </si>
  <si>
    <t xml:space="preserve">Revisão de resultados com CS</t>
  </si>
  <si>
    <t xml:space="preserve">Trimestral (coletiva)</t>
  </si>
  <si>
    <t xml:space="preserve">Trimestral (individual)</t>
  </si>
  <si>
    <t xml:space="preserve">Mensal (individual)</t>
  </si>
  <si>
    <t xml:space="preserve">Apoio zootécnico/veterinário (N2)</t>
  </si>
  <si>
    <t xml:space="preserve">Sob demanda, via e-mail</t>
  </si>
  <si>
    <t xml:space="preserve">2 consultas/mês</t>
  </si>
  <si>
    <t xml:space="preserve">Ilimitado + revisão mensal de protocolo</t>
  </si>
  <si>
    <t xml:space="preserve">Disponibilidade-alvo da plataforma</t>
  </si>
  <si>
    <t xml:space="preserve">99,5%</t>
  </si>
  <si>
    <t xml:space="preserve">99,7%</t>
  </si>
  <si>
    <t xml:space="preserve">99,9%</t>
  </si>
  <si>
    <t xml:space="preserve">Cenários e sensibilidade (valores gerados pelo modelo)</t>
  </si>
  <si>
    <t xml:space="preserve">Valores colados a partir de execuções do modelo com o seletor de cenário (1/2/3) e fatores de sensibilidade. Mesmo aporte solicitado em todos os cenários. Reexecute para atualizar após mudar premissas.</t>
  </si>
  <si>
    <t xml:space="preserve">Fazendas ativas (fim do ano 3)</t>
  </si>
  <si>
    <t xml:space="preserve">Fazendas ativas (fim do ano 5)</t>
  </si>
  <si>
    <t xml:space="preserve">Vacas atendidas (ano 5)</t>
  </si>
  <si>
    <t xml:space="preserve">ARR (ano 3, R$)</t>
  </si>
  <si>
    <t xml:space="preserve">ARR (ano 5, R$)</t>
  </si>
  <si>
    <t xml:space="preserve">Receita líquida ano 3 (R$)</t>
  </si>
  <si>
    <t xml:space="preserve">Receita líquida ano 5 (R$)</t>
  </si>
  <si>
    <t xml:space="preserve">EBITDA ano 3 (R$)</t>
  </si>
  <si>
    <t xml:space="preserve">EBITDA ano 5 (R$)</t>
  </si>
  <si>
    <t xml:space="preserve">Margem EBITDA ano 5</t>
  </si>
  <si>
    <t xml:space="preserve">Margem bruta ano 5</t>
  </si>
  <si>
    <t xml:space="preserve">Necessidade máxima de caixa (R$)</t>
  </si>
  <si>
    <t xml:space="preserve">Aporte solicitado (R$)</t>
  </si>
  <si>
    <t xml:space="preserve">Caixa mínimo com aporte (R$)</t>
  </si>
  <si>
    <t xml:space="preserve">Break-even operacional (mês)</t>
  </si>
  <si>
    <t xml:space="preserve">Payback do investimento (mês)</t>
  </si>
  <si>
    <t xml:space="preserve">&gt; 60</t>
  </si>
  <si>
    <t xml:space="preserve">VPL sem valor residual (R$)</t>
  </si>
  <si>
    <t xml:space="preserve">VPL com valor residual (R$)</t>
  </si>
  <si>
    <t xml:space="preserve">n/d</t>
  </si>
  <si>
    <t xml:space="preserve">Headcount total (ano 5)</t>
  </si>
  <si>
    <t xml:space="preserve">Sensibilidade: VPL com valor residual (R$) - preço x churn</t>
  </si>
  <si>
    <t xml:space="preserve">Fator de preço \ fator de churn</t>
  </si>
  <si>
    <t xml:space="preserve">churn x0.7</t>
  </si>
  <si>
    <t xml:space="preserve">churn x1.0</t>
  </si>
  <si>
    <t xml:space="preserve">churn x1.4</t>
  </si>
  <si>
    <t xml:space="preserve">preço x0.8</t>
  </si>
  <si>
    <t xml:space="preserve">preço x0.9</t>
  </si>
  <si>
    <t xml:space="preserve">preço x1.0</t>
  </si>
  <si>
    <t xml:space="preserve">preço x1.1</t>
  </si>
  <si>
    <t xml:space="preserve">preço x1.2</t>
  </si>
  <si>
    <t xml:space="preserve">Sensibilidade: EBITDA do ano 5 (R$) - preço x churn</t>
  </si>
  <si>
    <t xml:space="preserve">Sensibilidade: necessidade máxima de caixa (R$) - preço x churn</t>
  </si>
  <si>
    <t xml:space="preserve">Sensibilidade: volume de novas fazendas (base = 1,0)</t>
  </si>
  <si>
    <t xml:space="preserve">Fator de novas fazendas</t>
  </si>
  <si>
    <t xml:space="preserve">Fazendas (ano 5)</t>
  </si>
  <si>
    <t xml:space="preserve">EBITDA ano 5</t>
  </si>
  <si>
    <t xml:space="preserve">Necessidade de caixa</t>
  </si>
  <si>
    <t xml:space="preserve">Break-even (mês)</t>
  </si>
  <si>
    <t xml:space="preserve">x0.6</t>
  </si>
  <si>
    <t xml:space="preserve">x0.8</t>
  </si>
  <si>
    <t xml:space="preserve">x1.0</t>
  </si>
  <si>
    <t xml:space="preserve">x1.2</t>
  </si>
  <si>
    <t xml:space="preserve">x1.4</t>
  </si>
  <si>
    <t xml:space="preserve">Motor mensal (somente fórmulas)</t>
  </si>
  <si>
    <t xml:space="preserve">Linha</t>
  </si>
  <si>
    <t xml:space="preserve">Unid.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</si>
  <si>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</si>
  <si>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</si>
  <si>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</si>
  <si>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</si>
  <si>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</si>
  <si>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</si>
  <si>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</si>
  <si>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</si>
  <si>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</si>
  <si>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</si>
  <si>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</si>
  <si>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</si>
  <si>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</si>
  <si>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</si>
  <si>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</si>
  <si>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</si>
  <si>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</si>
  <si>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</si>
  <si>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</si>
  <si>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</si>
  <si>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</si>
  <si>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</si>
  <si>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</si>
  <si>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</si>
  <si>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</si>
  <si>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</si>
  <si>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</si>
  <si>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</si>
  <si>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</si>
  <si>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</si>
  <si>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</si>
  <si>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</si>
  <si>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</si>
  <si>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</si>
  <si>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</si>
  <si>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</si>
  <si>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</si>
  <si>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</si>
  <si>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</si>
  <si>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</si>
  <si>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</si>
  <si>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</si>
  <si>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</si>
  <si>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</si>
  <si>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</si>
  <si>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</si>
  <si>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</si>
  <si>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</si>
  <si>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</si>
  <si>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</si>
  <si>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</si>
  <si>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</si>
  <si>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</si>
  <si>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</si>
  <si>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</si>
  <si>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</si>
  <si>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</si>
  <si>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</si>
  <si>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</si>
  <si>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</si>
  <si>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Linha do tempo</t>
  </si>
  <si>
    <t xml:space="preserve">#</t>
  </si>
  <si>
    <t xml:space="preserve">Ano</t>
  </si>
  <si>
    <t xml:space="preserve">Fator de reajuste (IPCA)</t>
  </si>
  <si>
    <t xml:space="preserve">Clientes (fazendas e vacas)</t>
  </si>
  <si>
    <t xml:space="preserve">Novas fazendas</t>
  </si>
  <si>
    <t xml:space="preserve">Fazendas perdidas (churn)</t>
  </si>
  <si>
    <t xml:space="preserve">Fazendas ativas (fim do mês)</t>
  </si>
  <si>
    <t xml:space="preserve">Fazendas ativas (média do mês)</t>
  </si>
  <si>
    <t xml:space="preserve">Vacas em lactação atendidas (fim do mês)</t>
  </si>
  <si>
    <t xml:space="preserve">Licenças de consultor ativas</t>
  </si>
  <si>
    <t xml:space="preserve">licenças</t>
  </si>
  <si>
    <t xml:space="preserve">Mensalidade média por fazenda (com reajuste e cenário)</t>
  </si>
  <si>
    <t xml:space="preserve">Assinatura (por vaca/mês, com mínimo por plano)</t>
  </si>
  <si>
    <t xml:space="preserve">Implantação (taxa única)</t>
  </si>
  <si>
    <t xml:space="preserve">Evento anual (ingressos)</t>
  </si>
  <si>
    <t xml:space="preserve">RECEITA BRUTA</t>
  </si>
  <si>
    <t xml:space="preserve">RECEITA LÍQUIDA</t>
  </si>
  <si>
    <t xml:space="preserve">Memo: receita recorrente do mês (assinatura + módulos + benchmark + consultores + patrocínios)</t>
  </si>
  <si>
    <t xml:space="preserve">Equipe de suporte e sucesso (dimensionada por fazendas e vacas)</t>
  </si>
  <si>
    <t xml:space="preserve">Analistas zootécnicos/veterinários N2</t>
  </si>
  <si>
    <t xml:space="preserve">Total da equipe de suporte e sucesso</t>
  </si>
  <si>
    <t xml:space="preserve">Custo dos serviços (COGS)</t>
  </si>
  <si>
    <t xml:space="preserve">Infraestrutura variável (por fazenda)</t>
  </si>
  <si>
    <t xml:space="preserve">Mensageria</t>
  </si>
  <si>
    <t xml:space="preserve">Infraestrutura fixa</t>
  </si>
  <si>
    <t xml:space="preserve">Equipe de suporte e sucesso (N1, CS, N2, implantação)</t>
  </si>
  <si>
    <t xml:space="preserve">Ferramentas de suporte (helpdesk, CRM, base de conhecimento)</t>
  </si>
  <si>
    <t xml:space="preserve">CUSTO DOS SERVIÇOS</t>
  </si>
  <si>
    <t xml:space="preserve">LUCRO BRUTO</t>
  </si>
  <si>
    <t xml:space="preserve">Equipe: Direção / gestão geral</t>
  </si>
  <si>
    <t xml:space="preserve">Equipe: Tech lead</t>
  </si>
  <si>
    <t xml:space="preserve">Equipe: Desenvolvimento</t>
  </si>
  <si>
    <t xml:space="preserve">Equipe: Dados / IA</t>
  </si>
  <si>
    <t xml:space="preserve">Equipe: Produto / design</t>
  </si>
  <si>
    <t xml:space="preserve">Equipe: Zootecnia/veterinária (conteúdo e benchmark)</t>
  </si>
  <si>
    <t xml:space="preserve">Equipe: Vendas (fixo)</t>
  </si>
  <si>
    <t xml:space="preserve">Equipe: Marketing / comunidade</t>
  </si>
  <si>
    <t xml:space="preserve">Equipe: Administrativo / financeiro</t>
  </si>
  <si>
    <t xml:space="preserve">Subtotal equipe fixa</t>
  </si>
  <si>
    <t xml:space="preserve">Comissões de vendas</t>
  </si>
  <si>
    <t xml:space="preserve">Aquisição: custo variável por fazenda</t>
  </si>
  <si>
    <t xml:space="preserve">Marketing fixo</t>
  </si>
  <si>
    <t xml:space="preserve">Despesas gerais e administrativas</t>
  </si>
  <si>
    <t xml:space="preserve">Itens pontuais (jurídico, segurança, lançamento)</t>
  </si>
  <si>
    <t xml:space="preserve">DESPESAS OPERACIONAIS</t>
  </si>
  <si>
    <t xml:space="preserve">EBITDA (= resultado líquido neste modelo)</t>
  </si>
  <si>
    <t xml:space="preserve">Memo: headcount fixo</t>
  </si>
  <si>
    <t xml:space="preserve">Memo: headcount total (fixo + suporte e sucesso)</t>
  </si>
  <si>
    <t xml:space="preserve">Caixa acumulado ANTES de aportes</t>
  </si>
  <si>
    <t xml:space="preserve">Aportes de capital (tranches)</t>
  </si>
  <si>
    <t xml:space="preserve">CAIXA FINAL (com aportes)</t>
  </si>
  <si>
    <t xml:space="preserve">Flag: EBITDA positivo</t>
  </si>
  <si>
    <t xml:space="preserve">0/1</t>
  </si>
  <si>
    <t xml:space="preserve">Flag: caixa acumulado &gt;= 0 após o ponto mínimo</t>
  </si>
  <si>
    <t xml:space="preserve">Memória de cálculo (lógica de cada linha do modelo mensal)</t>
  </si>
  <si>
    <t xml:space="preserve">Fórmula / lógica</t>
  </si>
  <si>
    <t xml:space="preserve">Premissas usadas</t>
  </si>
  <si>
    <t xml:space="preserve">Zero antes do lançamento; depois = novas/mês do ano x multiplicador do cenário.</t>
  </si>
  <si>
    <t xml:space="preserve">launch_month, new_farms_y, f_new</t>
  </si>
  <si>
    <t xml:space="preserve">Fazendas perdidas</t>
  </si>
  <si>
    <t xml:space="preserve">Fazendas ativas do mês anterior x churn mensal x multiplicadores.</t>
  </si>
  <si>
    <t xml:space="preserve">churn_m, f_churn, s_churn</t>
  </si>
  <si>
    <t xml:space="preserve">Anterior + novas - perdidas.</t>
  </si>
  <si>
    <t xml:space="preserve">Fazendas ativas x vacas médias por fazenda (média ponderada pelo mix).</t>
  </si>
  <si>
    <t xml:space="preserve">mix_*, herd_*</t>
  </si>
  <si>
    <t xml:space="preserve">ARPA de assinatura</t>
  </si>
  <si>
    <t xml:space="preserve">Média ponderada de MAIOR(mínimo do plano; vacas do plano x preço por vaca), x reajuste IPCA do ano x multiplicadores de preço.</t>
  </si>
  <si>
    <t xml:space="preserve">mix, herd, p_*, min_*, reajuste, f_price, s_price</t>
  </si>
  <si>
    <t xml:space="preserve">Assinatura</t>
  </si>
  <si>
    <t xml:space="preserve">Fazendas ativas médias do mês x ARPA.</t>
  </si>
  <si>
    <t xml:space="preserve">Novas fazendas x implantação média ponderada x reajuste.</t>
  </si>
  <si>
    <t xml:space="preserve">set_*</t>
  </si>
  <si>
    <t xml:space="preserve">Módulos premium / Benchmark</t>
  </si>
  <si>
    <t xml:space="preserve">Fazendas médias x % de adoção do ano x preço x reajuste.</t>
  </si>
  <si>
    <t xml:space="preserve">adopt_*_y, price_mod, price_bench</t>
  </si>
  <si>
    <t xml:space="preserve">Licenças de consultor</t>
  </si>
  <si>
    <t xml:space="preserve">Acumulado de novas licenças/mês (a partir do mês 13) x preço.</t>
  </si>
  <si>
    <t xml:space="preserve">new_cons_y, price_cons</t>
  </si>
  <si>
    <t xml:space="preserve">Evento</t>
  </si>
  <si>
    <t xml:space="preserve">Receita anual lançada no mês do evento.</t>
  </si>
  <si>
    <t xml:space="preserve">event_rev_y, event_month</t>
  </si>
  <si>
    <t xml:space="preserve">Patrocínios</t>
  </si>
  <si>
    <t xml:space="preserve">Valor anual / 12, a partir do lançamento.</t>
  </si>
  <si>
    <t xml:space="preserve">spons_y</t>
  </si>
  <si>
    <t xml:space="preserve">Tributos</t>
  </si>
  <si>
    <t xml:space="preserve">Receita bruta x alíquota do ano.</t>
  </si>
  <si>
    <t xml:space="preserve">tax_y</t>
  </si>
  <si>
    <t xml:space="preserve">N1</t>
  </si>
  <si>
    <t xml:space="preserve">ARREDONDAR.PARA.CIMA(fazendas ativas / fazendas por N1).</t>
  </si>
  <si>
    <t xml:space="preserve">r_n1</t>
  </si>
  <si>
    <t xml:space="preserve">CS</t>
  </si>
  <si>
    <t xml:space="preserve">MÁXIMO(1; ARREDONDAR.PARA.CIMA(fazendas / fazendas por CS)).</t>
  </si>
  <si>
    <t xml:space="preserve">r_cs</t>
  </si>
  <si>
    <t xml:space="preserve">N2 zootécnico</t>
  </si>
  <si>
    <t xml:space="preserve">ARREDONDAR.PARA.CIMA(vacas atendidas / vacas por analista).</t>
  </si>
  <si>
    <t xml:space="preserve">r_n2</t>
  </si>
  <si>
    <t xml:space="preserve">Implantação (equipe)</t>
  </si>
  <si>
    <t xml:space="preserve">ARREDONDAR.PARA.CIMA(novas fazendas do mês / novas por especialista).</t>
  </si>
  <si>
    <t xml:space="preserve">r_onb</t>
  </si>
  <si>
    <t xml:space="preserve">Custo de suporte</t>
  </si>
  <si>
    <t xml:space="preserve">(N1 x custo + CS x custo + N2 x custo + implantação x custo) x reajuste.</t>
  </si>
  <si>
    <t xml:space="preserve">c_*</t>
  </si>
  <si>
    <t xml:space="preserve">Ferramentas</t>
  </si>
  <si>
    <t xml:space="preserve">(Pessoas de suporte x licença + fazendas médias x custo por fazenda) x reajuste.</t>
  </si>
  <si>
    <t xml:space="preserve">tool_seat, tool_farm</t>
  </si>
  <si>
    <t xml:space="preserve">Infra variável / mensageria</t>
  </si>
  <si>
    <t xml:space="preserve">Fazendas médias x custo por fazenda x reajuste.</t>
  </si>
  <si>
    <t xml:space="preserve">infra_var, msg</t>
  </si>
  <si>
    <t xml:space="preserve">Equipe fixa</t>
  </si>
  <si>
    <t xml:space="preserve">Headcount do ano x custo mensal por pessoa x reajuste (nove funções).</t>
  </si>
  <si>
    <t xml:space="preserve">hc_*, cc_*</t>
  </si>
  <si>
    <t xml:space="preserve">Comissões</t>
  </si>
  <si>
    <t xml:space="preserve">Novas fazendas x ARPA x 12 meses x % de comissão.</t>
  </si>
  <si>
    <t xml:space="preserve">comm</t>
  </si>
  <si>
    <t xml:space="preserve">Aquisição variável</t>
  </si>
  <si>
    <t xml:space="preserve">Novas fazendas x custo variável de aquisição x reajuste.</t>
  </si>
  <si>
    <t xml:space="preserve">cac_var</t>
  </si>
  <si>
    <t xml:space="preserve">Valor mensal do ano x reajuste, a partir de 1 mês antes do lançamento.</t>
  </si>
  <si>
    <t xml:space="preserve">mkt_fix_y</t>
  </si>
  <si>
    <t xml:space="preserve">Itens pontuais</t>
  </si>
  <si>
    <t xml:space="preserve">Soma dos itens da tabela de itens pontuais no mês correspondente.</t>
  </si>
  <si>
    <t xml:space="preserve">oneoff_*</t>
  </si>
  <si>
    <t xml:space="preserve">Capital de giro</t>
  </si>
  <si>
    <t xml:space="preserve">Receber = receita líquida x prazo/30; Pagar = (custos + despesas) x prazo/30; variação mensal entra no fluxo.</t>
  </si>
  <si>
    <t xml:space="preserve">dso, dpo</t>
  </si>
  <si>
    <t xml:space="preserve">Fluxo operacional</t>
  </si>
  <si>
    <t xml:space="preserve">EBITDA + variação do capital de giro.</t>
  </si>
  <si>
    <t xml:space="preserve">Caixa anterior + fluxo operacional + aportes (tranches = aporte x % em 3 meses definidos).</t>
  </si>
  <si>
    <t xml:space="preserve">ask, t1..t3</t>
  </si>
  <si>
    <t xml:space="preserve">Balanço</t>
  </si>
  <si>
    <t xml:space="preserve">Ativo (caixa + a receber) = Passivo (a pagar) + capital integralizado + lucros acumulados. Conferência = 0.</t>
  </si>
  <si>
    <t xml:space="preserve">Break-even operacional</t>
  </si>
  <si>
    <t xml:space="preserve">Primeiro mês com EBITDA &gt; 0.</t>
  </si>
  <si>
    <t xml:space="preserve">Payback</t>
  </si>
  <si>
    <t xml:space="preserve">Primeiro mês, após o ponto mínimo, em que o caixa acumulado (antes de aportes) volta a &gt;= 0.</t>
  </si>
  <si>
    <t xml:space="preserve">VPL</t>
  </si>
  <si>
    <t xml:space="preserve">Fluxos operacionais anuais descontados à TMA; versão com valor residual soma múltiplo x receita líquida do ano 5.</t>
  </si>
  <si>
    <t xml:space="preserve">disc, tv_mult</t>
  </si>
  <si>
    <t xml:space="preserve">TIR</t>
  </si>
  <si>
    <t xml:space="preserve">Taxa interna de retorno dos mesmos fluxos anuais.</t>
  </si>
  <si>
    <t xml:space="preserve">CAC</t>
  </si>
  <si>
    <t xml:space="preserve">(Equipe de vendas fixa + comissão + aquisição variável + marketing fixo) / novas fazendas do ano.</t>
  </si>
  <si>
    <t xml:space="preserve">LTV</t>
  </si>
  <si>
    <t xml:space="preserve">Contribuição mensal por fazenda (ARPA - custo variável por fazenda) / churn mensal.</t>
  </si>
  <si>
    <t xml:space="preserve">Payback do CAC</t>
  </si>
  <si>
    <t xml:space="preserve">CAC / contribuição mensal por fazenda.</t>
  </si>
  <si>
    <t xml:space="preserve">Suporte por escala</t>
  </si>
  <si>
    <t xml:space="preserve">Aba Suporte: aplica as mesmas razões de capacidade e custos às fazendas informadas.</t>
  </si>
  <si>
    <t xml:space="preserve">r_*, c_*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</si>
</sst>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0.0\x"/>
    <numFmt numFmtId="168" formatCode="#,##0.00;\(#,##0.00\);\-"/>
    <numFmt numFmtId="169" formatCode="0.00"/>
    <numFmt numFmtId="170" formatCode="#,##0.0"/>
    <numFmt numFmtId="171" formatCode="&quot;Ano &quot;0"/>
    <numFmt numFmtId="172" formatCode="0.0"/>
    <numFmt numFmtId="173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4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C4D"/>
        <bgColor rgb="FF008080"/>
      </patternFill>
    </fill>
    <fill>
      <patternFill patternType="solid">
        <fgColor rgb="FFE3F0EA"/>
        <bgColor rgb="FFCCFFFF"/>
      </patternFill>
    </fill>
    <fill>
      <patternFill patternType="solid">
        <fgColor rgb="FFFFF2A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5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11</v>
      </c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4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</row>
    <row r="4" customFormat="false" ht="15" hidden="false" customHeight="false" outlineLevel="0" collapsed="false">
      <c r="A4" s="7" t="s">
        <v>26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4" t="s">
        <v>27</v>
      </c>
      <c r="B5" s="9" t="n">
        <v>4</v>
      </c>
      <c r="C5" s="4" t="s">
        <v>28</v>
      </c>
      <c r="D5" s="4" t="s">
        <v>29</v>
      </c>
    </row>
    <row r="6" customFormat="false" ht="15" hidden="false" customHeight="false" outlineLevel="0" collapsed="false">
      <c r="A6" s="4" t="s">
        <v>30</v>
      </c>
      <c r="B6" s="10" t="n">
        <v>0.05</v>
      </c>
      <c r="C6" s="4" t="s">
        <v>31</v>
      </c>
      <c r="D6" s="4" t="s">
        <v>32</v>
      </c>
    </row>
    <row r="7" customFormat="false" ht="15" hidden="false" customHeight="false" outlineLevel="0" collapsed="false">
      <c r="A7" s="4" t="s">
        <v>33</v>
      </c>
      <c r="B7" s="9" t="n">
        <v>10</v>
      </c>
      <c r="C7" s="4" t="s">
        <v>34</v>
      </c>
      <c r="D7" s="4" t="s">
        <v>35</v>
      </c>
    </row>
    <row r="8" customFormat="false" ht="15" hidden="false" customHeight="false" outlineLevel="0" collapsed="false">
      <c r="A8" s="4" t="s">
        <v>36</v>
      </c>
      <c r="B8" s="9" t="n">
        <v>20</v>
      </c>
      <c r="C8" s="4" t="s">
        <v>34</v>
      </c>
      <c r="D8" s="4" t="s">
        <v>37</v>
      </c>
    </row>
    <row r="9" customFormat="false" ht="15" hidden="false" customHeight="false" outlineLevel="0" collapsed="false">
      <c r="A9" s="4" t="s">
        <v>38</v>
      </c>
      <c r="B9" s="10" t="n">
        <v>0.25</v>
      </c>
      <c r="C9" s="4" t="s">
        <v>31</v>
      </c>
      <c r="D9" s="4" t="s">
        <v>39</v>
      </c>
    </row>
    <row r="10" customFormat="false" ht="15" hidden="false" customHeight="false" outlineLevel="0" collapsed="false">
      <c r="A10" s="4" t="s">
        <v>40</v>
      </c>
      <c r="B10" s="11" t="n">
        <v>1.5</v>
      </c>
      <c r="C10" s="4" t="s">
        <v>41</v>
      </c>
      <c r="D10" s="4" t="s">
        <v>42</v>
      </c>
    </row>
    <row r="11" customFormat="false" ht="15" hidden="false" customHeight="false" outlineLevel="0" collapsed="false">
      <c r="A11" s="7" t="s">
        <v>43</v>
      </c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4" t="s">
        <v>44</v>
      </c>
      <c r="B12" s="10" t="n">
        <v>0.5</v>
      </c>
      <c r="C12" s="4" t="s">
        <v>45</v>
      </c>
      <c r="D12" s="4" t="s">
        <v>46</v>
      </c>
    </row>
    <row r="13" customFormat="false" ht="15" hidden="false" customHeight="false" outlineLevel="0" collapsed="false">
      <c r="A13" s="4" t="s">
        <v>47</v>
      </c>
      <c r="B13" s="10" t="n">
        <v>0.38</v>
      </c>
      <c r="C13" s="4" t="s">
        <v>45</v>
      </c>
      <c r="D13" s="4" t="s">
        <v>37</v>
      </c>
    </row>
    <row r="14" customFormat="false" ht="15" hidden="false" customHeight="false" outlineLevel="0" collapsed="false">
      <c r="A14" s="4" t="s">
        <v>48</v>
      </c>
      <c r="B14" s="12" t="n">
        <f aca="false">1-mix_ess-mix_pro</f>
        <v>0.12</v>
      </c>
      <c r="C14" s="4" t="s">
        <v>45</v>
      </c>
      <c r="D14" s="4" t="s">
        <v>49</v>
      </c>
    </row>
    <row r="15" customFormat="false" ht="15" hidden="false" customHeight="false" outlineLevel="0" collapsed="false">
      <c r="A15" s="4" t="s">
        <v>50</v>
      </c>
      <c r="B15" s="9" t="n">
        <v>80</v>
      </c>
      <c r="C15" s="4" t="s">
        <v>51</v>
      </c>
      <c r="D15" s="4" t="s">
        <v>52</v>
      </c>
    </row>
    <row r="16" customFormat="false" ht="15" hidden="false" customHeight="false" outlineLevel="0" collapsed="false">
      <c r="A16" s="4" t="s">
        <v>53</v>
      </c>
      <c r="B16" s="9" t="n">
        <v>200</v>
      </c>
      <c r="C16" s="4" t="s">
        <v>51</v>
      </c>
      <c r="D16" s="4" t="s">
        <v>54</v>
      </c>
    </row>
    <row r="17" customFormat="false" ht="15" hidden="false" customHeight="false" outlineLevel="0" collapsed="false">
      <c r="A17" s="4" t="s">
        <v>55</v>
      </c>
      <c r="B17" s="9" t="n">
        <v>450</v>
      </c>
      <c r="C17" s="4" t="s">
        <v>51</v>
      </c>
      <c r="D17" s="4" t="s">
        <v>56</v>
      </c>
    </row>
    <row r="18" customFormat="false" ht="15" hidden="false" customHeight="false" outlineLevel="0" collapsed="false">
      <c r="A18" s="4" t="s">
        <v>57</v>
      </c>
      <c r="B18" s="13" t="n">
        <v>4.5</v>
      </c>
      <c r="C18" s="4" t="s">
        <v>58</v>
      </c>
      <c r="D18" s="4" t="s">
        <v>59</v>
      </c>
    </row>
    <row r="19" customFormat="false" ht="15" hidden="false" customHeight="false" outlineLevel="0" collapsed="false">
      <c r="A19" s="4" t="s">
        <v>60</v>
      </c>
      <c r="B19" s="13" t="n">
        <v>7</v>
      </c>
      <c r="C19" s="4" t="s">
        <v>58</v>
      </c>
      <c r="D19" s="4" t="s">
        <v>37</v>
      </c>
    </row>
    <row r="20" customFormat="false" ht="15" hidden="false" customHeight="false" outlineLevel="0" collapsed="false">
      <c r="A20" s="4" t="s">
        <v>61</v>
      </c>
      <c r="B20" s="13" t="n">
        <v>10</v>
      </c>
      <c r="C20" s="4" t="s">
        <v>58</v>
      </c>
      <c r="D20" s="4" t="s">
        <v>37</v>
      </c>
    </row>
    <row r="21" customFormat="false" ht="15" hidden="false" customHeight="false" outlineLevel="0" collapsed="false">
      <c r="A21" s="4" t="s">
        <v>62</v>
      </c>
      <c r="B21" s="9" t="n">
        <v>320</v>
      </c>
      <c r="C21" s="4" t="s">
        <v>63</v>
      </c>
      <c r="D21" s="4" t="s">
        <v>37</v>
      </c>
    </row>
    <row r="22" customFormat="false" ht="15" hidden="false" customHeight="false" outlineLevel="0" collapsed="false">
      <c r="A22" s="4" t="s">
        <v>64</v>
      </c>
      <c r="B22" s="9" t="n">
        <v>950</v>
      </c>
      <c r="C22" s="4" t="s">
        <v>63</v>
      </c>
      <c r="D22" s="4" t="s">
        <v>37</v>
      </c>
    </row>
    <row r="23" customFormat="false" ht="15" hidden="false" customHeight="false" outlineLevel="0" collapsed="false">
      <c r="A23" s="4" t="s">
        <v>65</v>
      </c>
      <c r="B23" s="9" t="n">
        <v>2000</v>
      </c>
      <c r="C23" s="4" t="s">
        <v>63</v>
      </c>
      <c r="D23" s="4" t="s">
        <v>37</v>
      </c>
    </row>
    <row r="24" customFormat="false" ht="15" hidden="false" customHeight="false" outlineLevel="0" collapsed="false">
      <c r="A24" s="4" t="s">
        <v>66</v>
      </c>
      <c r="B24" s="9" t="n">
        <v>1200</v>
      </c>
      <c r="C24" s="4" t="s">
        <v>67</v>
      </c>
      <c r="D24" s="4" t="s">
        <v>68</v>
      </c>
    </row>
    <row r="25" customFormat="false" ht="15" hidden="false" customHeight="false" outlineLevel="0" collapsed="false">
      <c r="A25" s="4" t="s">
        <v>69</v>
      </c>
      <c r="B25" s="9" t="n">
        <v>2800</v>
      </c>
      <c r="C25" s="4" t="s">
        <v>67</v>
      </c>
      <c r="D25" s="4" t="s">
        <v>37</v>
      </c>
    </row>
    <row r="26" customFormat="false" ht="15" hidden="false" customHeight="false" outlineLevel="0" collapsed="false">
      <c r="A26" s="4" t="s">
        <v>70</v>
      </c>
      <c r="B26" s="9" t="n">
        <v>6000</v>
      </c>
      <c r="C26" s="4" t="s">
        <v>67</v>
      </c>
      <c r="D26" s="4" t="s">
        <v>37</v>
      </c>
    </row>
    <row r="27" customFormat="false" ht="15" hidden="false" customHeight="false" outlineLevel="0" collapsed="false">
      <c r="A27" s="4" t="s">
        <v>71</v>
      </c>
      <c r="B27" s="9" t="n">
        <v>350</v>
      </c>
      <c r="C27" s="4" t="s">
        <v>63</v>
      </c>
      <c r="D27" s="4" t="s">
        <v>37</v>
      </c>
    </row>
    <row r="28" customFormat="false" ht="15" hidden="false" customHeight="false" outlineLevel="0" collapsed="false">
      <c r="A28" s="4" t="s">
        <v>72</v>
      </c>
      <c r="B28" s="9" t="n">
        <v>250</v>
      </c>
      <c r="C28" s="4" t="s">
        <v>63</v>
      </c>
      <c r="D28" s="4" t="s">
        <v>73</v>
      </c>
    </row>
    <row r="29" customFormat="false" ht="15" hidden="false" customHeight="false" outlineLevel="0" collapsed="false">
      <c r="A29" s="4" t="s">
        <v>74</v>
      </c>
      <c r="B29" s="9" t="n">
        <v>600</v>
      </c>
      <c r="C29" s="4" t="s">
        <v>63</v>
      </c>
      <c r="D29" s="4" t="s">
        <v>75</v>
      </c>
    </row>
    <row r="30" customFormat="false" ht="15" hidden="false" customHeight="false" outlineLevel="0" collapsed="false">
      <c r="A30" s="7" t="s">
        <v>76</v>
      </c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4" t="s">
        <v>77</v>
      </c>
      <c r="B31" s="10" t="n">
        <v>0.012</v>
      </c>
      <c r="C31" s="4" t="s">
        <v>78</v>
      </c>
      <c r="D31" s="4" t="s">
        <v>79</v>
      </c>
    </row>
    <row r="32" customFormat="false" ht="15" hidden="false" customHeight="false" outlineLevel="0" collapsed="false">
      <c r="A32" s="7" t="s">
        <v>80</v>
      </c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4" t="s">
        <v>81</v>
      </c>
      <c r="B33" s="9" t="n">
        <v>75</v>
      </c>
      <c r="C33" s="4" t="s">
        <v>82</v>
      </c>
      <c r="D33" s="4" t="s">
        <v>83</v>
      </c>
    </row>
    <row r="34" customFormat="false" ht="15" hidden="false" customHeight="false" outlineLevel="0" collapsed="false">
      <c r="A34" s="4" t="s">
        <v>84</v>
      </c>
      <c r="B34" s="9" t="n">
        <v>30</v>
      </c>
      <c r="C34" s="4" t="s">
        <v>82</v>
      </c>
      <c r="D34" s="4" t="s">
        <v>37</v>
      </c>
    </row>
    <row r="35" customFormat="false" ht="15" hidden="false" customHeight="false" outlineLevel="0" collapsed="false">
      <c r="A35" s="4" t="s">
        <v>85</v>
      </c>
      <c r="B35" s="9" t="n">
        <v>4000</v>
      </c>
      <c r="C35" s="4" t="s">
        <v>63</v>
      </c>
      <c r="D35" s="4" t="s">
        <v>37</v>
      </c>
    </row>
    <row r="36" customFormat="false" ht="15" hidden="false" customHeight="false" outlineLevel="0" collapsed="false">
      <c r="A36" s="7" t="s">
        <v>86</v>
      </c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4" t="s">
        <v>87</v>
      </c>
      <c r="B37" s="9" t="n">
        <v>150</v>
      </c>
      <c r="C37" s="4" t="s">
        <v>88</v>
      </c>
      <c r="D37" s="4" t="s">
        <v>89</v>
      </c>
    </row>
    <row r="38" customFormat="false" ht="15" hidden="false" customHeight="false" outlineLevel="0" collapsed="false">
      <c r="A38" s="4" t="s">
        <v>90</v>
      </c>
      <c r="B38" s="9" t="n">
        <v>100</v>
      </c>
      <c r="C38" s="4" t="s">
        <v>88</v>
      </c>
      <c r="D38" s="4" t="s">
        <v>37</v>
      </c>
    </row>
    <row r="39" customFormat="false" ht="15" hidden="false" customHeight="false" outlineLevel="0" collapsed="false">
      <c r="A39" s="4" t="s">
        <v>91</v>
      </c>
      <c r="B39" s="9" t="n">
        <v>30000</v>
      </c>
      <c r="C39" s="4" t="s">
        <v>51</v>
      </c>
      <c r="D39" s="4" t="s">
        <v>92</v>
      </c>
    </row>
    <row r="40" customFormat="false" ht="15" hidden="false" customHeight="false" outlineLevel="0" collapsed="false">
      <c r="A40" s="4" t="s">
        <v>93</v>
      </c>
      <c r="B40" s="9" t="n">
        <v>8</v>
      </c>
      <c r="C40" s="4" t="s">
        <v>94</v>
      </c>
      <c r="D40" s="4" t="s">
        <v>95</v>
      </c>
    </row>
    <row r="41" customFormat="false" ht="15" hidden="false" customHeight="false" outlineLevel="0" collapsed="false">
      <c r="A41" s="4" t="s">
        <v>96</v>
      </c>
      <c r="B41" s="9" t="n">
        <v>30</v>
      </c>
      <c r="C41" s="4" t="s">
        <v>88</v>
      </c>
      <c r="D41" s="4" t="s">
        <v>97</v>
      </c>
    </row>
    <row r="42" customFormat="false" ht="15" hidden="false" customHeight="false" outlineLevel="0" collapsed="false">
      <c r="A42" s="4" t="s">
        <v>98</v>
      </c>
      <c r="B42" s="9" t="n">
        <v>4500</v>
      </c>
      <c r="C42" s="4" t="s">
        <v>63</v>
      </c>
      <c r="D42" s="4" t="s">
        <v>99</v>
      </c>
    </row>
    <row r="43" customFormat="false" ht="15" hidden="false" customHeight="false" outlineLevel="0" collapsed="false">
      <c r="A43" s="4" t="s">
        <v>100</v>
      </c>
      <c r="B43" s="9" t="n">
        <v>8000</v>
      </c>
      <c r="C43" s="4" t="s">
        <v>63</v>
      </c>
      <c r="D43" s="4" t="s">
        <v>37</v>
      </c>
    </row>
    <row r="44" customFormat="false" ht="15" hidden="false" customHeight="false" outlineLevel="0" collapsed="false">
      <c r="A44" s="4" t="s">
        <v>101</v>
      </c>
      <c r="B44" s="9" t="n">
        <v>12000</v>
      </c>
      <c r="C44" s="4" t="s">
        <v>63</v>
      </c>
      <c r="D44" s="4" t="s">
        <v>37</v>
      </c>
    </row>
    <row r="45" customFormat="false" ht="15" hidden="false" customHeight="false" outlineLevel="0" collapsed="false">
      <c r="A45" s="4" t="s">
        <v>102</v>
      </c>
      <c r="B45" s="9" t="n">
        <v>7000</v>
      </c>
      <c r="C45" s="4" t="s">
        <v>63</v>
      </c>
      <c r="D45" s="4" t="s">
        <v>37</v>
      </c>
    </row>
    <row r="46" customFormat="false" ht="15" hidden="false" customHeight="false" outlineLevel="0" collapsed="false">
      <c r="A46" s="4" t="s">
        <v>103</v>
      </c>
      <c r="B46" s="9" t="n">
        <v>250</v>
      </c>
      <c r="C46" s="4" t="s">
        <v>63</v>
      </c>
      <c r="D46" s="4" t="s">
        <v>37</v>
      </c>
    </row>
    <row r="47" customFormat="false" ht="15" hidden="false" customHeight="false" outlineLevel="0" collapsed="false">
      <c r="A47" s="4" t="s">
        <v>104</v>
      </c>
      <c r="B47" s="9" t="n">
        <v>12</v>
      </c>
      <c r="C47" s="4" t="s">
        <v>82</v>
      </c>
      <c r="D47" s="4" t="s">
        <v>37</v>
      </c>
    </row>
    <row r="48" customFormat="false" ht="15" hidden="false" customHeight="false" outlineLevel="0" collapsed="false">
      <c r="A48" s="7" t="s">
        <v>105</v>
      </c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4" t="s">
        <v>106</v>
      </c>
      <c r="B49" s="9" t="n">
        <v>2500</v>
      </c>
      <c r="C49" s="4" t="s">
        <v>107</v>
      </c>
      <c r="D49" s="4" t="s">
        <v>37</v>
      </c>
    </row>
    <row r="50" customFormat="false" ht="15" hidden="false" customHeight="false" outlineLevel="0" collapsed="false">
      <c r="A50" s="4" t="s">
        <v>108</v>
      </c>
      <c r="B50" s="10" t="n">
        <v>0.08</v>
      </c>
      <c r="C50" s="4" t="s">
        <v>45</v>
      </c>
      <c r="D50" s="4" t="s">
        <v>37</v>
      </c>
    </row>
    <row r="51" customFormat="false" ht="15" hidden="false" customHeight="false" outlineLevel="0" collapsed="false">
      <c r="A51" s="4" t="s">
        <v>109</v>
      </c>
      <c r="B51" s="10" t="n">
        <v>0.3</v>
      </c>
      <c r="C51" s="4" t="s">
        <v>45</v>
      </c>
      <c r="D51" s="4" t="s">
        <v>110</v>
      </c>
    </row>
    <row r="52" customFormat="false" ht="15" hidden="false" customHeight="false" outlineLevel="0" collapsed="false">
      <c r="A52" s="4" t="s">
        <v>111</v>
      </c>
      <c r="B52" s="10" t="n">
        <v>0.25</v>
      </c>
      <c r="C52" s="4" t="s">
        <v>45</v>
      </c>
      <c r="D52" s="4" t="s">
        <v>112</v>
      </c>
    </row>
    <row r="53" customFormat="false" ht="15" hidden="false" customHeight="false" outlineLevel="0" collapsed="false">
      <c r="A53" s="4" t="s">
        <v>113</v>
      </c>
      <c r="B53" s="9" t="n">
        <v>10</v>
      </c>
      <c r="C53" s="4" t="s">
        <v>28</v>
      </c>
      <c r="D53" s="4" t="s">
        <v>37</v>
      </c>
    </row>
    <row r="54" customFormat="false" ht="15" hidden="false" customHeight="false" outlineLevel="0" collapsed="false">
      <c r="A54" s="7" t="s">
        <v>114</v>
      </c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4" t="s">
        <v>115</v>
      </c>
      <c r="B55" s="9" t="n">
        <v>2</v>
      </c>
      <c r="C55" s="4" t="s">
        <v>116</v>
      </c>
      <c r="D55" s="4" t="s">
        <v>117</v>
      </c>
    </row>
    <row r="56" customFormat="false" ht="15" hidden="false" customHeight="false" outlineLevel="0" collapsed="false">
      <c r="A56" s="4" t="s">
        <v>118</v>
      </c>
      <c r="B56" s="14" t="n">
        <v>1</v>
      </c>
      <c r="C56" s="4" t="s">
        <v>41</v>
      </c>
      <c r="D56" s="4" t="s">
        <v>119</v>
      </c>
    </row>
    <row r="57" customFormat="false" ht="15" hidden="false" customHeight="false" outlineLevel="0" collapsed="false">
      <c r="A57" s="4" t="s">
        <v>120</v>
      </c>
      <c r="B57" s="14" t="n">
        <v>1</v>
      </c>
      <c r="C57" s="4" t="s">
        <v>41</v>
      </c>
      <c r="D57" s="4" t="s">
        <v>119</v>
      </c>
    </row>
    <row r="58" customFormat="false" ht="15" hidden="false" customHeight="false" outlineLevel="0" collapsed="false">
      <c r="A58" s="4" t="s">
        <v>121</v>
      </c>
      <c r="B58" s="9" t="n">
        <v>4700000</v>
      </c>
      <c r="C58" s="4" t="s">
        <v>67</v>
      </c>
      <c r="D58" s="4" t="s">
        <v>122</v>
      </c>
    </row>
    <row r="59" customFormat="false" ht="15" hidden="false" customHeight="false" outlineLevel="0" collapsed="false">
      <c r="A59" s="4" t="s">
        <v>123</v>
      </c>
      <c r="B59" s="9" t="n">
        <v>1</v>
      </c>
      <c r="C59" s="4" t="s">
        <v>28</v>
      </c>
      <c r="D59" s="4" t="s">
        <v>124</v>
      </c>
    </row>
    <row r="60" customFormat="false" ht="15" hidden="false" customHeight="false" outlineLevel="0" collapsed="false">
      <c r="A60" s="4" t="s">
        <v>125</v>
      </c>
      <c r="B60" s="10" t="n">
        <v>0.45</v>
      </c>
      <c r="C60" s="4" t="s">
        <v>45</v>
      </c>
      <c r="D60" s="4"/>
    </row>
    <row r="61" customFormat="false" ht="15" hidden="false" customHeight="false" outlineLevel="0" collapsed="false">
      <c r="A61" s="4" t="s">
        <v>126</v>
      </c>
      <c r="B61" s="9" t="n">
        <v>10</v>
      </c>
      <c r="C61" s="4" t="s">
        <v>28</v>
      </c>
      <c r="D61" s="4" t="s">
        <v>127</v>
      </c>
    </row>
    <row r="62" customFormat="false" ht="15" hidden="false" customHeight="false" outlineLevel="0" collapsed="false">
      <c r="A62" s="4" t="s">
        <v>128</v>
      </c>
      <c r="B62" s="10" t="n">
        <v>0.35</v>
      </c>
      <c r="C62" s="4" t="s">
        <v>45</v>
      </c>
      <c r="D62" s="4"/>
    </row>
    <row r="63" customFormat="false" ht="15" hidden="false" customHeight="false" outlineLevel="0" collapsed="false">
      <c r="A63" s="4" t="s">
        <v>129</v>
      </c>
      <c r="B63" s="9" t="n">
        <v>22</v>
      </c>
      <c r="C63" s="4" t="s">
        <v>28</v>
      </c>
      <c r="D63" s="4" t="s">
        <v>130</v>
      </c>
    </row>
    <row r="64" customFormat="false" ht="15" hidden="false" customHeight="false" outlineLevel="0" collapsed="false">
      <c r="A64" s="4" t="s">
        <v>131</v>
      </c>
      <c r="B64" s="12" t="n">
        <f aca="false">1-t1p-t2p</f>
        <v>0.2</v>
      </c>
      <c r="C64" s="4" t="s">
        <v>45</v>
      </c>
      <c r="D64" s="4" t="s">
        <v>132</v>
      </c>
    </row>
    <row r="65" customFormat="false" ht="15" hidden="false" customHeight="false" outlineLevel="0" collapsed="false">
      <c r="A65" s="7" t="s">
        <v>133</v>
      </c>
      <c r="B65" s="8"/>
      <c r="C65" s="8"/>
      <c r="D65" s="8"/>
      <c r="E65" s="8"/>
      <c r="F65" s="8"/>
      <c r="G65" s="8"/>
    </row>
    <row r="66" customFormat="false" ht="15" hidden="false" customHeight="false" outlineLevel="0" collapsed="false">
      <c r="A66" s="6" t="s">
        <v>134</v>
      </c>
      <c r="B66" s="6" t="s">
        <v>135</v>
      </c>
      <c r="C66" s="6" t="s">
        <v>136</v>
      </c>
      <c r="D66" s="6" t="s">
        <v>137</v>
      </c>
      <c r="E66" s="6" t="s">
        <v>138</v>
      </c>
    </row>
    <row r="67" customFormat="false" ht="15" hidden="false" customHeight="false" outlineLevel="0" collapsed="false">
      <c r="A67" s="4" t="s">
        <v>139</v>
      </c>
      <c r="B67" s="15" t="n">
        <v>0.6</v>
      </c>
      <c r="C67" s="15" t="n">
        <v>1</v>
      </c>
      <c r="D67" s="15" t="n">
        <v>1.4</v>
      </c>
      <c r="E67" s="16" t="n">
        <f aca="false">INDEX(B67:D67,1,scenario)</f>
        <v>1</v>
      </c>
    </row>
    <row r="68" customFormat="false" ht="15" hidden="false" customHeight="false" outlineLevel="0" collapsed="false">
      <c r="A68" s="4" t="s">
        <v>140</v>
      </c>
      <c r="B68" s="15" t="n">
        <v>1.4</v>
      </c>
      <c r="C68" s="15" t="n">
        <v>1</v>
      </c>
      <c r="D68" s="15" t="n">
        <v>0.7</v>
      </c>
      <c r="E68" s="16" t="n">
        <f aca="false">INDEX(B68:D68,1,scenario)</f>
        <v>1</v>
      </c>
    </row>
    <row r="69" customFormat="false" ht="15" hidden="false" customHeight="false" outlineLevel="0" collapsed="false">
      <c r="A69" s="4" t="s">
        <v>141</v>
      </c>
      <c r="B69" s="15" t="n">
        <v>0.95</v>
      </c>
      <c r="C69" s="15" t="n">
        <v>1</v>
      </c>
      <c r="D69" s="15" t="n">
        <v>1</v>
      </c>
      <c r="E69" s="16" t="n">
        <f aca="false">INDEX(B69:D69,1,scenario)</f>
        <v>1</v>
      </c>
    </row>
    <row r="71" customFormat="false" ht="15" hidden="false" customHeight="false" outlineLevel="0" collapsed="false">
      <c r="A71" s="6" t="s">
        <v>142</v>
      </c>
      <c r="B71" s="6" t="s">
        <v>143</v>
      </c>
      <c r="C71" s="6" t="s">
        <v>144</v>
      </c>
      <c r="D71" s="6" t="s">
        <v>145</v>
      </c>
      <c r="E71" s="6" t="s">
        <v>146</v>
      </c>
      <c r="F71" s="6" t="s">
        <v>147</v>
      </c>
      <c r="G71" s="6" t="s">
        <v>24</v>
      </c>
      <c r="H71" s="6" t="s">
        <v>25</v>
      </c>
    </row>
    <row r="72" customFormat="false" ht="15" hidden="false" customHeight="false" outlineLevel="0" collapsed="false">
      <c r="A72" s="7" t="s">
        <v>148</v>
      </c>
      <c r="B72" s="8"/>
      <c r="C72" s="8"/>
      <c r="D72" s="8"/>
      <c r="E72" s="8"/>
      <c r="F72" s="8"/>
      <c r="G72" s="8"/>
    </row>
    <row r="73" customFormat="false" ht="15" hidden="false" customHeight="false" outlineLevel="0" collapsed="false">
      <c r="A73" s="4" t="s">
        <v>149</v>
      </c>
      <c r="B73" s="17" t="n">
        <v>3</v>
      </c>
      <c r="C73" s="17" t="n">
        <v>12</v>
      </c>
      <c r="D73" s="17" t="n">
        <v>20</v>
      </c>
      <c r="E73" s="17" t="n">
        <v>26</v>
      </c>
      <c r="F73" s="17" t="n">
        <v>30</v>
      </c>
      <c r="G73" s="4" t="s">
        <v>94</v>
      </c>
      <c r="H73" s="4" t="s">
        <v>150</v>
      </c>
    </row>
    <row r="74" customFormat="false" ht="15" hidden="false" customHeight="false" outlineLevel="0" collapsed="false">
      <c r="A74" s="4" t="s">
        <v>151</v>
      </c>
      <c r="B74" s="18" t="n">
        <v>0.06</v>
      </c>
      <c r="C74" s="18" t="n">
        <v>0.08</v>
      </c>
      <c r="D74" s="18" t="n">
        <v>0.13</v>
      </c>
      <c r="E74" s="18" t="n">
        <v>0.14</v>
      </c>
      <c r="F74" s="18" t="n">
        <v>0.14</v>
      </c>
      <c r="G74" s="4" t="s">
        <v>152</v>
      </c>
      <c r="H74" s="4" t="s">
        <v>153</v>
      </c>
    </row>
    <row r="75" customFormat="false" ht="15" hidden="false" customHeight="false" outlineLevel="0" collapsed="false">
      <c r="A75" s="4" t="s">
        <v>154</v>
      </c>
      <c r="B75" s="18" t="n">
        <v>0</v>
      </c>
      <c r="C75" s="18" t="n">
        <v>0.1</v>
      </c>
      <c r="D75" s="18" t="n">
        <v>0.18</v>
      </c>
      <c r="E75" s="18" t="n">
        <v>0.25</v>
      </c>
      <c r="F75" s="18" t="n">
        <v>0.3</v>
      </c>
      <c r="G75" s="4" t="s">
        <v>45</v>
      </c>
      <c r="H75" s="4" t="s">
        <v>37</v>
      </c>
    </row>
    <row r="76" customFormat="false" ht="15" hidden="false" customHeight="false" outlineLevel="0" collapsed="false">
      <c r="A76" s="4" t="s">
        <v>155</v>
      </c>
      <c r="B76" s="18" t="n">
        <v>0</v>
      </c>
      <c r="C76" s="18" t="n">
        <v>0.05</v>
      </c>
      <c r="D76" s="18" t="n">
        <v>0.12</v>
      </c>
      <c r="E76" s="18" t="n">
        <v>0.18</v>
      </c>
      <c r="F76" s="18" t="n">
        <v>0.22</v>
      </c>
      <c r="G76" s="4" t="s">
        <v>45</v>
      </c>
      <c r="H76" s="4" t="s">
        <v>37</v>
      </c>
    </row>
    <row r="77" customFormat="false" ht="15" hidden="false" customHeight="false" outlineLevel="0" collapsed="false">
      <c r="A77" s="4" t="s">
        <v>156</v>
      </c>
      <c r="B77" s="17" t="n">
        <v>0</v>
      </c>
      <c r="C77" s="17" t="n">
        <v>1</v>
      </c>
      <c r="D77" s="17" t="n">
        <v>2</v>
      </c>
      <c r="E77" s="17" t="n">
        <v>3</v>
      </c>
      <c r="F77" s="17" t="n">
        <v>4</v>
      </c>
      <c r="G77" s="4" t="s">
        <v>157</v>
      </c>
      <c r="H77" s="4" t="s">
        <v>37</v>
      </c>
    </row>
    <row r="78" customFormat="false" ht="15" hidden="false" customHeight="false" outlineLevel="0" collapsed="false">
      <c r="A78" s="4" t="s">
        <v>158</v>
      </c>
      <c r="B78" s="17" t="n">
        <v>0</v>
      </c>
      <c r="C78" s="17" t="n">
        <v>60000</v>
      </c>
      <c r="D78" s="17" t="n">
        <v>120000</v>
      </c>
      <c r="E78" s="17" t="n">
        <v>200000</v>
      </c>
      <c r="F78" s="17" t="n">
        <v>280000</v>
      </c>
      <c r="G78" s="4" t="s">
        <v>159</v>
      </c>
      <c r="H78" s="4" t="s">
        <v>160</v>
      </c>
    </row>
    <row r="79" customFormat="false" ht="15" hidden="false" customHeight="false" outlineLevel="0" collapsed="false">
      <c r="A79" s="4" t="s">
        <v>161</v>
      </c>
      <c r="B79" s="17" t="n">
        <v>0</v>
      </c>
      <c r="C79" s="17" t="n">
        <v>55000</v>
      </c>
      <c r="D79" s="17" t="n">
        <v>90000</v>
      </c>
      <c r="E79" s="17" t="n">
        <v>140000</v>
      </c>
      <c r="F79" s="17" t="n">
        <v>190000</v>
      </c>
      <c r="G79" s="4" t="s">
        <v>159</v>
      </c>
      <c r="H79" s="4" t="s">
        <v>37</v>
      </c>
    </row>
    <row r="80" customFormat="false" ht="15" hidden="false" customHeight="false" outlineLevel="0" collapsed="false">
      <c r="A80" s="4" t="s">
        <v>162</v>
      </c>
      <c r="B80" s="17" t="n">
        <v>0</v>
      </c>
      <c r="C80" s="17" t="n">
        <v>120000</v>
      </c>
      <c r="D80" s="17" t="n">
        <v>360000</v>
      </c>
      <c r="E80" s="17" t="n">
        <v>600000</v>
      </c>
      <c r="F80" s="17" t="n">
        <v>900000</v>
      </c>
      <c r="G80" s="4" t="s">
        <v>159</v>
      </c>
      <c r="H80" s="4" t="s">
        <v>163</v>
      </c>
    </row>
    <row r="81" customFormat="false" ht="15" hidden="false" customHeight="false" outlineLevel="0" collapsed="false">
      <c r="A81" s="4" t="s">
        <v>164</v>
      </c>
      <c r="B81" s="17" t="n">
        <v>5000</v>
      </c>
      <c r="C81" s="17" t="n">
        <v>12000</v>
      </c>
      <c r="D81" s="17" t="n">
        <v>20000</v>
      </c>
      <c r="E81" s="17" t="n">
        <v>28000</v>
      </c>
      <c r="F81" s="17" t="n">
        <v>36000</v>
      </c>
      <c r="G81" s="4" t="s">
        <v>63</v>
      </c>
      <c r="H81" s="4" t="s">
        <v>37</v>
      </c>
    </row>
    <row r="82" customFormat="false" ht="15" hidden="false" customHeight="false" outlineLevel="0" collapsed="false">
      <c r="A82" s="4" t="s">
        <v>165</v>
      </c>
      <c r="B82" s="17" t="n">
        <v>12000</v>
      </c>
      <c r="C82" s="17" t="n">
        <v>16000</v>
      </c>
      <c r="D82" s="17" t="n">
        <v>22000</v>
      </c>
      <c r="E82" s="17" t="n">
        <v>28000</v>
      </c>
      <c r="F82" s="17" t="n">
        <v>34000</v>
      </c>
      <c r="G82" s="4" t="s">
        <v>63</v>
      </c>
      <c r="H82" s="4" t="s">
        <v>166</v>
      </c>
    </row>
    <row r="83" customFormat="false" ht="15" hidden="false" customHeight="false" outlineLevel="0" collapsed="false">
      <c r="A83" s="7" t="s">
        <v>167</v>
      </c>
      <c r="B83" s="8"/>
      <c r="C83" s="8"/>
      <c r="D83" s="8"/>
      <c r="E83" s="8"/>
      <c r="F83" s="8"/>
      <c r="G83" s="8"/>
    </row>
    <row r="84" customFormat="false" ht="15" hidden="false" customHeight="false" outlineLevel="0" collapsed="false">
      <c r="A84" s="4" t="s">
        <v>168</v>
      </c>
      <c r="B84" s="17" t="n">
        <v>1</v>
      </c>
      <c r="C84" s="17" t="n">
        <v>1</v>
      </c>
      <c r="D84" s="17" t="n">
        <v>1</v>
      </c>
      <c r="E84" s="17" t="n">
        <v>1</v>
      </c>
      <c r="F84" s="17" t="n">
        <v>1</v>
      </c>
      <c r="G84" s="4" t="s">
        <v>169</v>
      </c>
      <c r="H84" s="4"/>
    </row>
    <row r="85" customFormat="false" ht="15" hidden="false" customHeight="false" outlineLevel="0" collapsed="false">
      <c r="A85" s="4" t="s">
        <v>170</v>
      </c>
      <c r="B85" s="17" t="n">
        <v>1</v>
      </c>
      <c r="C85" s="17" t="n">
        <v>1</v>
      </c>
      <c r="D85" s="17" t="n">
        <v>1</v>
      </c>
      <c r="E85" s="17" t="n">
        <v>1</v>
      </c>
      <c r="F85" s="17" t="n">
        <v>1</v>
      </c>
      <c r="G85" s="4" t="s">
        <v>169</v>
      </c>
      <c r="H85" s="4"/>
    </row>
    <row r="86" customFormat="false" ht="15" hidden="false" customHeight="false" outlineLevel="0" collapsed="false">
      <c r="A86" s="4" t="s">
        <v>171</v>
      </c>
      <c r="B86" s="17" t="n">
        <v>2</v>
      </c>
      <c r="C86" s="17" t="n">
        <v>3</v>
      </c>
      <c r="D86" s="17" t="n">
        <v>3</v>
      </c>
      <c r="E86" s="17" t="n">
        <v>4</v>
      </c>
      <c r="F86" s="17" t="n">
        <v>5</v>
      </c>
      <c r="G86" s="4" t="s">
        <v>169</v>
      </c>
      <c r="H86" s="4"/>
    </row>
    <row r="87" customFormat="false" ht="15" hidden="false" customHeight="false" outlineLevel="0" collapsed="false">
      <c r="A87" s="4" t="s">
        <v>172</v>
      </c>
      <c r="B87" s="17" t="n">
        <v>0</v>
      </c>
      <c r="C87" s="17" t="n">
        <v>1</v>
      </c>
      <c r="D87" s="17" t="n">
        <v>1</v>
      </c>
      <c r="E87" s="17" t="n">
        <v>1</v>
      </c>
      <c r="F87" s="17" t="n">
        <v>2</v>
      </c>
      <c r="G87" s="4" t="s">
        <v>169</v>
      </c>
      <c r="H87" s="4"/>
    </row>
    <row r="88" customFormat="false" ht="15" hidden="false" customHeight="false" outlineLevel="0" collapsed="false">
      <c r="A88" s="4" t="s">
        <v>173</v>
      </c>
      <c r="B88" s="17" t="n">
        <v>1</v>
      </c>
      <c r="C88" s="17" t="n">
        <v>1</v>
      </c>
      <c r="D88" s="17" t="n">
        <v>1</v>
      </c>
      <c r="E88" s="17" t="n">
        <v>1</v>
      </c>
      <c r="F88" s="17" t="n">
        <v>2</v>
      </c>
      <c r="G88" s="4" t="s">
        <v>169</v>
      </c>
      <c r="H88" s="4"/>
    </row>
    <row r="89" customFormat="false" ht="15" hidden="false" customHeight="false" outlineLevel="0" collapsed="false">
      <c r="A89" s="4" t="s">
        <v>174</v>
      </c>
      <c r="B89" s="17" t="n">
        <v>1</v>
      </c>
      <c r="C89" s="17" t="n">
        <v>1</v>
      </c>
      <c r="D89" s="17" t="n">
        <v>1</v>
      </c>
      <c r="E89" s="17" t="n">
        <v>2</v>
      </c>
      <c r="F89" s="17" t="n">
        <v>2</v>
      </c>
      <c r="G89" s="4" t="s">
        <v>169</v>
      </c>
      <c r="H89" s="4"/>
    </row>
    <row r="90" customFormat="false" ht="15" hidden="false" customHeight="false" outlineLevel="0" collapsed="false">
      <c r="A90" s="4" t="s">
        <v>175</v>
      </c>
      <c r="B90" s="17" t="n">
        <v>1</v>
      </c>
      <c r="C90" s="17" t="n">
        <v>2</v>
      </c>
      <c r="D90" s="17" t="n">
        <v>2</v>
      </c>
      <c r="E90" s="17" t="n">
        <v>3</v>
      </c>
      <c r="F90" s="17" t="n">
        <v>3</v>
      </c>
      <c r="G90" s="4" t="s">
        <v>169</v>
      </c>
      <c r="H90" s="4"/>
    </row>
    <row r="91" customFormat="false" ht="15" hidden="false" customHeight="false" outlineLevel="0" collapsed="false">
      <c r="A91" s="4" t="s">
        <v>176</v>
      </c>
      <c r="B91" s="17" t="n">
        <v>0</v>
      </c>
      <c r="C91" s="17" t="n">
        <v>1</v>
      </c>
      <c r="D91" s="17" t="n">
        <v>1</v>
      </c>
      <c r="E91" s="17" t="n">
        <v>1</v>
      </c>
      <c r="F91" s="17" t="n">
        <v>2</v>
      </c>
      <c r="G91" s="4" t="s">
        <v>169</v>
      </c>
      <c r="H91" s="4"/>
    </row>
    <row r="92" customFormat="false" ht="15" hidden="false" customHeight="false" outlineLevel="0" collapsed="false">
      <c r="A92" s="4" t="s">
        <v>177</v>
      </c>
      <c r="B92" s="17" t="n">
        <v>0</v>
      </c>
      <c r="C92" s="17" t="n">
        <v>1</v>
      </c>
      <c r="D92" s="17" t="n">
        <v>1</v>
      </c>
      <c r="E92" s="17" t="n">
        <v>1</v>
      </c>
      <c r="F92" s="17" t="n">
        <v>2</v>
      </c>
      <c r="G92" s="4" t="s">
        <v>169</v>
      </c>
      <c r="H92" s="4"/>
    </row>
    <row r="93" customFormat="false" ht="15" hidden="false" customHeight="false" outlineLevel="0" collapsed="false">
      <c r="A93" s="7" t="s">
        <v>178</v>
      </c>
      <c r="B93" s="8"/>
      <c r="C93" s="8"/>
      <c r="D93" s="8"/>
      <c r="E93" s="8"/>
      <c r="F93" s="8"/>
      <c r="G93" s="8"/>
    </row>
    <row r="94" customFormat="false" ht="15" hidden="false" customHeight="false" outlineLevel="0" collapsed="false">
      <c r="A94" s="4" t="s">
        <v>168</v>
      </c>
      <c r="B94" s="17" t="n">
        <v>18000</v>
      </c>
      <c r="G94" s="4" t="s">
        <v>63</v>
      </c>
      <c r="H94" s="4" t="s">
        <v>37</v>
      </c>
    </row>
    <row r="95" customFormat="false" ht="15" hidden="false" customHeight="false" outlineLevel="0" collapsed="false">
      <c r="A95" s="4" t="s">
        <v>179</v>
      </c>
      <c r="B95" s="17" t="n">
        <v>22000</v>
      </c>
      <c r="G95" s="4" t="s">
        <v>63</v>
      </c>
      <c r="H95" s="4" t="s">
        <v>37</v>
      </c>
    </row>
    <row r="96" customFormat="false" ht="15" hidden="false" customHeight="false" outlineLevel="0" collapsed="false">
      <c r="A96" s="4" t="s">
        <v>180</v>
      </c>
      <c r="B96" s="17" t="n">
        <v>16000</v>
      </c>
      <c r="G96" s="4" t="s">
        <v>63</v>
      </c>
      <c r="H96" s="4" t="s">
        <v>37</v>
      </c>
    </row>
    <row r="97" customFormat="false" ht="15" hidden="false" customHeight="false" outlineLevel="0" collapsed="false">
      <c r="A97" s="4" t="s">
        <v>181</v>
      </c>
      <c r="B97" s="17" t="n">
        <v>17000</v>
      </c>
      <c r="G97" s="4" t="s">
        <v>63</v>
      </c>
      <c r="H97" s="4" t="s">
        <v>37</v>
      </c>
    </row>
    <row r="98" customFormat="false" ht="15" hidden="false" customHeight="false" outlineLevel="0" collapsed="false">
      <c r="A98" s="4" t="s">
        <v>173</v>
      </c>
      <c r="B98" s="17" t="n">
        <v>15000</v>
      </c>
      <c r="G98" s="4" t="s">
        <v>63</v>
      </c>
      <c r="H98" s="4" t="s">
        <v>37</v>
      </c>
    </row>
    <row r="99" customFormat="false" ht="15" hidden="false" customHeight="false" outlineLevel="0" collapsed="false">
      <c r="A99" s="4" t="s">
        <v>182</v>
      </c>
      <c r="B99" s="17" t="n">
        <v>12000</v>
      </c>
      <c r="G99" s="4" t="s">
        <v>63</v>
      </c>
      <c r="H99" s="4" t="s">
        <v>37</v>
      </c>
    </row>
    <row r="100" customFormat="false" ht="15" hidden="false" customHeight="false" outlineLevel="0" collapsed="false">
      <c r="A100" s="4" t="s">
        <v>183</v>
      </c>
      <c r="B100" s="17" t="n">
        <v>9000</v>
      </c>
      <c r="G100" s="4" t="s">
        <v>63</v>
      </c>
      <c r="H100" s="4" t="s">
        <v>184</v>
      </c>
    </row>
    <row r="101" customFormat="false" ht="15" hidden="false" customHeight="false" outlineLevel="0" collapsed="false">
      <c r="A101" s="4" t="s">
        <v>176</v>
      </c>
      <c r="B101" s="17" t="n">
        <v>8000</v>
      </c>
      <c r="G101" s="4" t="s">
        <v>63</v>
      </c>
      <c r="H101" s="4" t="s">
        <v>37</v>
      </c>
    </row>
    <row r="102" customFormat="false" ht="15" hidden="false" customHeight="false" outlineLevel="0" collapsed="false">
      <c r="A102" s="4" t="s">
        <v>177</v>
      </c>
      <c r="B102" s="17" t="n">
        <v>9000</v>
      </c>
      <c r="G102" s="4" t="s">
        <v>63</v>
      </c>
      <c r="H102" s="4" t="s">
        <v>37</v>
      </c>
    </row>
    <row r="104" customFormat="false" ht="15" hidden="false" customHeight="false" outlineLevel="0" collapsed="false">
      <c r="A104" s="7" t="s">
        <v>185</v>
      </c>
      <c r="B104" s="8"/>
      <c r="C104" s="8"/>
      <c r="D104" s="8"/>
      <c r="E104" s="8"/>
      <c r="F104" s="8"/>
      <c r="G104" s="8"/>
    </row>
    <row r="105" customFormat="false" ht="15" hidden="false" customHeight="false" outlineLevel="0" collapsed="false">
      <c r="A105" s="4" t="s">
        <v>186</v>
      </c>
      <c r="B105" s="19" t="n">
        <f aca="false">MAX(min_ess,herd_ess*p_ess)</f>
        <v>360</v>
      </c>
      <c r="C105" s="4" t="s">
        <v>63</v>
      </c>
      <c r="D105" s="4" t="s">
        <v>187</v>
      </c>
    </row>
    <row r="106" customFormat="false" ht="15" hidden="false" customHeight="false" outlineLevel="0" collapsed="false">
      <c r="A106" s="4" t="s">
        <v>188</v>
      </c>
      <c r="B106" s="19" t="n">
        <f aca="false">MAX(min_pro,herd_pro*p_pro)</f>
        <v>1400</v>
      </c>
      <c r="C106" s="4" t="s">
        <v>63</v>
      </c>
      <c r="D106" s="4"/>
    </row>
    <row r="107" customFormat="false" ht="15" hidden="false" customHeight="false" outlineLevel="0" collapsed="false">
      <c r="A107" s="4" t="s">
        <v>189</v>
      </c>
      <c r="B107" s="19" t="n">
        <f aca="false">MAX(min_pre,herd_pre*p_pre)</f>
        <v>4500</v>
      </c>
      <c r="C107" s="4" t="s">
        <v>63</v>
      </c>
      <c r="D107" s="4"/>
    </row>
    <row r="108" customFormat="false" ht="15" hidden="false" customHeight="false" outlineLevel="0" collapsed="false">
      <c r="A108" s="4" t="s">
        <v>190</v>
      </c>
      <c r="B108" s="19" t="n">
        <f aca="false">mix_ess*arpa_ess+mix_pro*arpa_pro+mix_pre*arpa_pre</f>
        <v>1252</v>
      </c>
      <c r="C108" s="4" t="s">
        <v>63</v>
      </c>
      <c r="D108" s="4" t="s">
        <v>191</v>
      </c>
    </row>
    <row r="109" customFormat="false" ht="15" hidden="false" customHeight="false" outlineLevel="0" collapsed="false">
      <c r="A109" s="4" t="s">
        <v>192</v>
      </c>
      <c r="B109" s="20" t="n">
        <f aca="false">mix_ess*herd_ess+mix_pro*herd_pro+mix_pre*herd_pre</f>
        <v>170</v>
      </c>
      <c r="C109" s="4" t="s">
        <v>51</v>
      </c>
      <c r="D109" s="4"/>
    </row>
    <row r="110" customFormat="false" ht="15" hidden="false" customHeight="false" outlineLevel="0" collapsed="false">
      <c r="A110" s="4" t="s">
        <v>193</v>
      </c>
      <c r="B110" s="19" t="n">
        <f aca="false">mix_ess*set_ess+mix_pro*set_pro+mix_pre*set_pre</f>
        <v>2384</v>
      </c>
      <c r="C110" s="4" t="s">
        <v>67</v>
      </c>
      <c r="D110" s="4"/>
    </row>
    <row r="111" customFormat="false" ht="15" hidden="false" customHeight="false" outlineLevel="0" collapsed="false">
      <c r="A111" s="4" t="s">
        <v>194</v>
      </c>
      <c r="B111" s="21" t="n">
        <f aca="false">arpa_base/herd_avg</f>
        <v>7.36470588235294</v>
      </c>
      <c r="C111" s="4" t="s">
        <v>58</v>
      </c>
      <c r="D111" s="4" t="s">
        <v>195</v>
      </c>
    </row>
    <row r="113" customFormat="false" ht="15" hidden="false" customHeight="false" outlineLevel="0" collapsed="false">
      <c r="A113" s="7" t="s">
        <v>196</v>
      </c>
      <c r="B113" s="8"/>
      <c r="C113" s="8"/>
      <c r="D113" s="8"/>
      <c r="E113" s="8"/>
      <c r="F113" s="8"/>
      <c r="G113" s="8"/>
    </row>
    <row r="114" customFormat="false" ht="15" hidden="false" customHeight="false" outlineLevel="0" collapsed="false">
      <c r="A114" s="6" t="s">
        <v>197</v>
      </c>
      <c r="B114" s="6" t="s">
        <v>198</v>
      </c>
      <c r="C114" s="6" t="s">
        <v>199</v>
      </c>
    </row>
    <row r="115" customFormat="false" ht="15" hidden="false" customHeight="false" outlineLevel="0" collapsed="false">
      <c r="A115" s="4" t="s">
        <v>200</v>
      </c>
      <c r="B115" s="17" t="n">
        <v>2</v>
      </c>
      <c r="C115" s="17" t="n">
        <v>6000</v>
      </c>
    </row>
    <row r="116" customFormat="false" ht="15" hidden="false" customHeight="false" outlineLevel="0" collapsed="false">
      <c r="A116" s="4" t="s">
        <v>201</v>
      </c>
      <c r="B116" s="17" t="n">
        <v>3</v>
      </c>
      <c r="C116" s="17" t="n">
        <v>35000</v>
      </c>
    </row>
    <row r="117" customFormat="false" ht="15" hidden="false" customHeight="false" outlineLevel="0" collapsed="false">
      <c r="A117" s="4" t="s">
        <v>202</v>
      </c>
      <c r="B117" s="17" t="n">
        <v>5</v>
      </c>
      <c r="C117" s="17" t="n">
        <v>40000</v>
      </c>
    </row>
    <row r="118" customFormat="false" ht="15" hidden="false" customHeight="false" outlineLevel="0" collapsed="false">
      <c r="A118" s="4" t="s">
        <v>203</v>
      </c>
      <c r="B118" s="17" t="n">
        <v>6</v>
      </c>
      <c r="C118" s="17" t="n">
        <v>30000</v>
      </c>
    </row>
    <row r="119" customFormat="false" ht="15" hidden="false" customHeight="false" outlineLevel="0" collapsed="false">
      <c r="A119" s="4" t="s">
        <v>204</v>
      </c>
      <c r="B119" s="17" t="n">
        <v>18</v>
      </c>
      <c r="C119" s="17" t="n">
        <v>20000</v>
      </c>
    </row>
    <row r="120" customFormat="false" ht="15" hidden="false" customHeight="false" outlineLevel="0" collapsed="false">
      <c r="A120" s="4" t="s">
        <v>204</v>
      </c>
      <c r="B120" s="17" t="n">
        <v>30</v>
      </c>
      <c r="C120" s="17" t="n">
        <v>20000</v>
      </c>
    </row>
    <row r="121" customFormat="false" ht="15" hidden="false" customHeight="false" outlineLevel="0" collapsed="false">
      <c r="A121" s="4" t="s">
        <v>204</v>
      </c>
      <c r="B121" s="17" t="n">
        <v>42</v>
      </c>
      <c r="C121" s="17" t="n">
        <v>20000</v>
      </c>
    </row>
    <row r="122" customFormat="false" ht="15" hidden="false" customHeight="false" outlineLevel="0" collapsed="false">
      <c r="A122" s="4" t="s">
        <v>204</v>
      </c>
      <c r="B122" s="17" t="n">
        <v>54</v>
      </c>
      <c r="C122" s="17" t="n">
        <v>20000</v>
      </c>
    </row>
    <row r="123" customFormat="false" ht="15" hidden="false" customHeight="false" outlineLevel="0" collapsed="false">
      <c r="A123" s="4" t="s">
        <v>205</v>
      </c>
      <c r="B123" s="17" t="n">
        <v>7</v>
      </c>
      <c r="C123" s="17" t="n">
        <v>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206</v>
      </c>
    </row>
    <row r="3" customFormat="false" ht="15" hidden="false" customHeight="false" outlineLevel="0" collapsed="false">
      <c r="A3" s="22" t="s">
        <v>207</v>
      </c>
      <c r="B3" s="23" t="n">
        <v>1</v>
      </c>
      <c r="C3" s="23" t="n">
        <v>2</v>
      </c>
      <c r="D3" s="23" t="n">
        <v>3</v>
      </c>
      <c r="E3" s="23" t="n">
        <v>4</v>
      </c>
      <c r="F3" s="23" t="n">
        <v>5</v>
      </c>
    </row>
    <row r="4" customFormat="false" ht="15" hidden="false" customHeight="false" outlineLevel="0" collapsed="false">
      <c r="A4" s="7" t="s">
        <v>208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4" t="s">
        <v>209</v>
      </c>
      <c r="B5" s="24" t="n">
        <f aca="false">SUMIFS(Mensal!$C$17:$BJ$17,Mensal!$C$6:$BJ$6,B$3)</f>
        <v>147610.305848859</v>
      </c>
      <c r="C5" s="24" t="n">
        <f aca="false">SUMIFS(Mensal!$C$17:$BJ$17,Mensal!$C$6:$BJ$6,C$3)</f>
        <v>1467277.97717756</v>
      </c>
      <c r="D5" s="24" t="n">
        <f aca="false">SUMIFS(Mensal!$C$17:$BJ$17,Mensal!$C$6:$BJ$6,D$3)</f>
        <v>4329265.17378882</v>
      </c>
      <c r="E5" s="24" t="n">
        <f aca="false">SUMIFS(Mensal!$C$17:$BJ$17,Mensal!$C$6:$BJ$6,E$3)</f>
        <v>8442476.3328887</v>
      </c>
      <c r="F5" s="24" t="n">
        <f aca="false">SUMIFS(Mensal!$C$17:$BJ$17,Mensal!$C$6:$BJ$6,F$3)</f>
        <v>13425655.3027752</v>
      </c>
    </row>
    <row r="6" customFormat="false" ht="15" hidden="false" customHeight="false" outlineLevel="0" collapsed="false">
      <c r="A6" s="4" t="s">
        <v>210</v>
      </c>
      <c r="B6" s="24" t="n">
        <f aca="false">SUMIFS(Mensal!$C$18:$BJ$18,Mensal!$C$6:$BJ$6,B$3)</f>
        <v>64368</v>
      </c>
      <c r="C6" s="24" t="n">
        <f aca="false">SUMIFS(Mensal!$C$18:$BJ$18,Mensal!$C$6:$BJ$6,C$3)</f>
        <v>360460.8</v>
      </c>
      <c r="D6" s="24" t="n">
        <f aca="false">SUMIFS(Mensal!$C$18:$BJ$18,Mensal!$C$6:$BJ$6,D$3)</f>
        <v>630806.4</v>
      </c>
      <c r="E6" s="24" t="n">
        <f aca="false">SUMIFS(Mensal!$C$18:$BJ$18,Mensal!$C$6:$BJ$6,E$3)</f>
        <v>861050.736</v>
      </c>
      <c r="F6" s="24" t="n">
        <f aca="false">SUMIFS(Mensal!$C$18:$BJ$18,Mensal!$C$6:$BJ$6,F$3)</f>
        <v>1043196.084</v>
      </c>
    </row>
    <row r="7" customFormat="false" ht="15" hidden="false" customHeight="false" outlineLevel="0" collapsed="false">
      <c r="A7" s="4" t="s">
        <v>211</v>
      </c>
      <c r="B7" s="24" t="n">
        <f aca="false">SUMIFS(Mensal!$C$19:$BJ$19,Mensal!$C$6:$BJ$6,B$3)</f>
        <v>0</v>
      </c>
      <c r="C7" s="24" t="n">
        <f aca="false">SUMIFS(Mensal!$C$19:$BJ$19,Mensal!$C$6:$BJ$6,C$3)</f>
        <v>41018.1543140693</v>
      </c>
      <c r="D7" s="24" t="n">
        <f aca="false">SUMIFS(Mensal!$C$19:$BJ$19,Mensal!$C$6:$BJ$6,D$3)</f>
        <v>217846.410502153</v>
      </c>
      <c r="E7" s="24" t="n">
        <f aca="false">SUMIFS(Mensal!$C$19:$BJ$19,Mensal!$C$6:$BJ$6,E$3)</f>
        <v>590029.296427924</v>
      </c>
      <c r="F7" s="24" t="n">
        <f aca="false">SUMIFS(Mensal!$C$19:$BJ$19,Mensal!$C$6:$BJ$6,F$3)</f>
        <v>1125953.51980143</v>
      </c>
    </row>
    <row r="8" customFormat="false" ht="15" hidden="false" customHeight="false" outlineLevel="0" collapsed="false">
      <c r="A8" s="4" t="s">
        <v>212</v>
      </c>
      <c r="B8" s="24" t="n">
        <f aca="false">SUMIFS(Mensal!$C$20:$BJ$20,Mensal!$C$6:$BJ$6,B$3)</f>
        <v>0</v>
      </c>
      <c r="C8" s="24" t="n">
        <f aca="false">SUMIFS(Mensal!$C$20:$BJ$20,Mensal!$C$6:$BJ$6,C$3)</f>
        <v>14649.3408264533</v>
      </c>
      <c r="D8" s="24" t="n">
        <f aca="false">SUMIFS(Mensal!$C$20:$BJ$20,Mensal!$C$6:$BJ$6,D$3)</f>
        <v>103736.385953406</v>
      </c>
      <c r="E8" s="24" t="n">
        <f aca="false">SUMIFS(Mensal!$C$20:$BJ$20,Mensal!$C$6:$BJ$6,E$3)</f>
        <v>303443.638162932</v>
      </c>
      <c r="F8" s="24" t="n">
        <f aca="false">SUMIFS(Mensal!$C$20:$BJ$20,Mensal!$C$6:$BJ$6,F$3)</f>
        <v>589785.177038845</v>
      </c>
    </row>
    <row r="9" customFormat="false" ht="15" hidden="false" customHeight="false" outlineLevel="0" collapsed="false">
      <c r="A9" s="4" t="s">
        <v>213</v>
      </c>
      <c r="B9" s="24" t="n">
        <f aca="false">SUMIFS(Mensal!$C$21:$BJ$21,Mensal!$C$6:$BJ$6,B$3)</f>
        <v>0</v>
      </c>
      <c r="C9" s="24" t="n">
        <f aca="false">SUMIFS(Mensal!$C$21:$BJ$21,Mensal!$C$6:$BJ$6,C$3)</f>
        <v>49140</v>
      </c>
      <c r="D9" s="24" t="n">
        <f aca="false">SUMIFS(Mensal!$C$21:$BJ$21,Mensal!$C$6:$BJ$6,D$3)</f>
        <v>198450</v>
      </c>
      <c r="E9" s="24" t="n">
        <f aca="false">SUMIFS(Mensal!$C$21:$BJ$21,Mensal!$C$6:$BJ$6,E$3)</f>
        <v>462586.95</v>
      </c>
      <c r="F9" s="24" t="n">
        <f aca="false">SUMIFS(Mensal!$C$21:$BJ$21,Mensal!$C$6:$BJ$6,F$3)</f>
        <v>857661.21</v>
      </c>
    </row>
    <row r="10" customFormat="false" ht="15" hidden="false" customHeight="false" outlineLevel="0" collapsed="false">
      <c r="A10" s="4" t="s">
        <v>214</v>
      </c>
      <c r="B10" s="24" t="n">
        <f aca="false">SUMIFS(Mensal!$C$22:$BJ$22,Mensal!$C$6:$BJ$6,B$3)</f>
        <v>0</v>
      </c>
      <c r="C10" s="24" t="n">
        <f aca="false">SUMIFS(Mensal!$C$22:$BJ$22,Mensal!$C$6:$BJ$6,C$3)</f>
        <v>60000</v>
      </c>
      <c r="D10" s="24" t="n">
        <f aca="false">SUMIFS(Mensal!$C$22:$BJ$22,Mensal!$C$6:$BJ$6,D$3)</f>
        <v>120000</v>
      </c>
      <c r="E10" s="24" t="n">
        <f aca="false">SUMIFS(Mensal!$C$22:$BJ$22,Mensal!$C$6:$BJ$6,E$3)</f>
        <v>200000</v>
      </c>
      <c r="F10" s="24" t="n">
        <f aca="false">SUMIFS(Mensal!$C$22:$BJ$22,Mensal!$C$6:$BJ$6,F$3)</f>
        <v>280000</v>
      </c>
    </row>
    <row r="11" customFormat="false" ht="15" hidden="false" customHeight="false" outlineLevel="0" collapsed="false">
      <c r="A11" s="4" t="s">
        <v>215</v>
      </c>
      <c r="B11" s="24" t="n">
        <f aca="false">SUMIFS(Mensal!$C$23:$BJ$23,Mensal!$C$6:$BJ$6,B$3)</f>
        <v>0</v>
      </c>
      <c r="C11" s="24" t="n">
        <f aca="false">SUMIFS(Mensal!$C$23:$BJ$23,Mensal!$C$6:$BJ$6,C$3)</f>
        <v>120000</v>
      </c>
      <c r="D11" s="24" t="n">
        <f aca="false">SUMIFS(Mensal!$C$23:$BJ$23,Mensal!$C$6:$BJ$6,D$3)</f>
        <v>360000</v>
      </c>
      <c r="E11" s="24" t="n">
        <f aca="false">SUMIFS(Mensal!$C$23:$BJ$23,Mensal!$C$6:$BJ$6,E$3)</f>
        <v>600000</v>
      </c>
      <c r="F11" s="24" t="n">
        <f aca="false">SUMIFS(Mensal!$C$23:$BJ$23,Mensal!$C$6:$BJ$6,F$3)</f>
        <v>900000</v>
      </c>
    </row>
    <row r="12" customFormat="false" ht="15" hidden="false" customHeight="false" outlineLevel="0" collapsed="false">
      <c r="A12" s="5" t="s">
        <v>216</v>
      </c>
      <c r="B12" s="25" t="n">
        <f aca="false">SUMIFS(Mensal!$C$24:$BJ$24,Mensal!$C$6:$BJ$6,B$3)</f>
        <v>211978.305848859</v>
      </c>
      <c r="C12" s="25" t="n">
        <f aca="false">SUMIFS(Mensal!$C$24:$BJ$24,Mensal!$C$6:$BJ$6,C$3)</f>
        <v>2112546.27231809</v>
      </c>
      <c r="D12" s="25" t="n">
        <f aca="false">SUMIFS(Mensal!$C$24:$BJ$24,Mensal!$C$6:$BJ$6,D$3)</f>
        <v>5960104.37024438</v>
      </c>
      <c r="E12" s="25" t="n">
        <f aca="false">SUMIFS(Mensal!$C$24:$BJ$24,Mensal!$C$6:$BJ$6,E$3)</f>
        <v>11459586.9534796</v>
      </c>
      <c r="F12" s="25" t="n">
        <f aca="false">SUMIFS(Mensal!$C$24:$BJ$24,Mensal!$C$6:$BJ$6,F$3)</f>
        <v>18222251.2936154</v>
      </c>
    </row>
    <row r="13" customFormat="false" ht="15" hidden="false" customHeight="false" outlineLevel="0" collapsed="false">
      <c r="A13" s="4" t="s">
        <v>217</v>
      </c>
      <c r="B13" s="24" t="n">
        <f aca="false">SUMIFS(Mensal!$C$25:$BJ$25,Mensal!$C$6:$BJ$6,B$3)</f>
        <v>-12718.6983509316</v>
      </c>
      <c r="C13" s="24" t="n">
        <f aca="false">SUMIFS(Mensal!$C$25:$BJ$25,Mensal!$C$6:$BJ$6,C$3)</f>
        <v>-169003.701785447</v>
      </c>
      <c r="D13" s="24" t="n">
        <f aca="false">SUMIFS(Mensal!$C$25:$BJ$25,Mensal!$C$6:$BJ$6,D$3)</f>
        <v>-774813.568131769</v>
      </c>
      <c r="E13" s="24" t="n">
        <f aca="false">SUMIFS(Mensal!$C$25:$BJ$25,Mensal!$C$6:$BJ$6,E$3)</f>
        <v>-1604342.17348714</v>
      </c>
      <c r="F13" s="24" t="n">
        <f aca="false">SUMIFS(Mensal!$C$25:$BJ$25,Mensal!$C$6:$BJ$6,F$3)</f>
        <v>-2551115.18110616</v>
      </c>
    </row>
    <row r="14" customFormat="false" ht="15" hidden="false" customHeight="false" outlineLevel="0" collapsed="false">
      <c r="A14" s="5" t="s">
        <v>218</v>
      </c>
      <c r="B14" s="25" t="n">
        <f aca="false">SUMIFS(Mensal!$C$26:$BJ$26,Mensal!$C$6:$BJ$6,B$3)</f>
        <v>199259.607497928</v>
      </c>
      <c r="C14" s="25" t="n">
        <f aca="false">SUMIFS(Mensal!$C$26:$BJ$26,Mensal!$C$6:$BJ$6,C$3)</f>
        <v>1943542.57053264</v>
      </c>
      <c r="D14" s="25" t="n">
        <f aca="false">SUMIFS(Mensal!$C$26:$BJ$26,Mensal!$C$6:$BJ$6,D$3)</f>
        <v>5185290.80211261</v>
      </c>
      <c r="E14" s="25" t="n">
        <f aca="false">SUMIFS(Mensal!$C$26:$BJ$26,Mensal!$C$6:$BJ$6,E$3)</f>
        <v>9855244.77999242</v>
      </c>
      <c r="F14" s="25" t="n">
        <f aca="false">SUMIFS(Mensal!$C$26:$BJ$26,Mensal!$C$6:$BJ$6,F$3)</f>
        <v>15671136.1125093</v>
      </c>
    </row>
    <row r="15" customFormat="false" ht="15" hidden="false" customHeight="false" outlineLevel="0" collapsed="false">
      <c r="A15" s="4" t="s">
        <v>219</v>
      </c>
      <c r="B15" s="24" t="n">
        <f aca="false">SUMIFS(Mensal!$C$35:$BJ$35,Mensal!$C$6:$BJ$6,B$3)</f>
        <v>-8842.4703982943</v>
      </c>
      <c r="C15" s="24" t="n">
        <f aca="false">SUMIFS(Mensal!$C$35:$BJ$35,Mensal!$C$6:$BJ$6,C$3)</f>
        <v>-87896.0449587199</v>
      </c>
      <c r="D15" s="24" t="n">
        <f aca="false">SUMIFS(Mensal!$C$35:$BJ$35,Mensal!$C$6:$BJ$6,D$3)</f>
        <v>-259340.964883516</v>
      </c>
      <c r="E15" s="24" t="n">
        <f aca="false">SUMIFS(Mensal!$C$35:$BJ$35,Mensal!$C$6:$BJ$6,E$3)</f>
        <v>-505739.396938221</v>
      </c>
      <c r="F15" s="24" t="n">
        <f aca="false">SUMIFS(Mensal!$C$35:$BJ$35,Mensal!$C$6:$BJ$6,F$3)</f>
        <v>-804252.51414388</v>
      </c>
    </row>
    <row r="16" customFormat="false" ht="15" hidden="false" customHeight="false" outlineLevel="0" collapsed="false">
      <c r="A16" s="4" t="s">
        <v>220</v>
      </c>
      <c r="B16" s="24" t="n">
        <f aca="false">SUMIFS(Mensal!$C$36:$BJ$36,Mensal!$C$6:$BJ$6,B$3)</f>
        <v>-3536.98815931772</v>
      </c>
      <c r="C16" s="24" t="n">
        <f aca="false">SUMIFS(Mensal!$C$36:$BJ$36,Mensal!$C$6:$BJ$6,C$3)</f>
        <v>-35158.417983488</v>
      </c>
      <c r="D16" s="24" t="n">
        <f aca="false">SUMIFS(Mensal!$C$36:$BJ$36,Mensal!$C$6:$BJ$6,D$3)</f>
        <v>-103736.385953406</v>
      </c>
      <c r="E16" s="24" t="n">
        <f aca="false">SUMIFS(Mensal!$C$36:$BJ$36,Mensal!$C$6:$BJ$6,E$3)</f>
        <v>-202295.758775288</v>
      </c>
      <c r="F16" s="24" t="n">
        <f aca="false">SUMIFS(Mensal!$C$36:$BJ$36,Mensal!$C$6:$BJ$6,F$3)</f>
        <v>-321701.005657552</v>
      </c>
    </row>
    <row r="17" customFormat="false" ht="15" hidden="false" customHeight="false" outlineLevel="0" collapsed="false">
      <c r="A17" s="4" t="s">
        <v>221</v>
      </c>
      <c r="B17" s="24" t="n">
        <f aca="false">SUMIFS(Mensal!$C$37:$BJ$37,Mensal!$C$6:$BJ$6,B$3)</f>
        <v>-48000</v>
      </c>
      <c r="C17" s="24" t="n">
        <f aca="false">SUMIFS(Mensal!$C$37:$BJ$37,Mensal!$C$6:$BJ$6,C$3)</f>
        <v>-50400</v>
      </c>
      <c r="D17" s="24" t="n">
        <f aca="false">SUMIFS(Mensal!$C$37:$BJ$37,Mensal!$C$6:$BJ$6,D$3)</f>
        <v>-52920</v>
      </c>
      <c r="E17" s="24" t="n">
        <f aca="false">SUMIFS(Mensal!$C$37:$BJ$37,Mensal!$C$6:$BJ$6,E$3)</f>
        <v>-55566</v>
      </c>
      <c r="F17" s="24" t="n">
        <f aca="false">SUMIFS(Mensal!$C$37:$BJ$37,Mensal!$C$6:$BJ$6,F$3)</f>
        <v>-58344.3</v>
      </c>
    </row>
    <row r="18" customFormat="false" ht="15" hidden="false" customHeight="false" outlineLevel="0" collapsed="false">
      <c r="A18" s="4" t="s">
        <v>222</v>
      </c>
      <c r="B18" s="24" t="n">
        <f aca="false">SUMIFS(Mensal!$C$38:$BJ$38,Mensal!$C$6:$BJ$6,B$3)</f>
        <v>-243000</v>
      </c>
      <c r="C18" s="24" t="n">
        <f aca="false">SUMIFS(Mensal!$C$38:$BJ$38,Mensal!$C$6:$BJ$6,C$3)</f>
        <v>-540225</v>
      </c>
      <c r="D18" s="24" t="n">
        <f aca="false">SUMIFS(Mensal!$C$38:$BJ$38,Mensal!$C$6:$BJ$6,D$3)</f>
        <v>-1069425</v>
      </c>
      <c r="E18" s="24" t="n">
        <f aca="false">SUMIFS(Mensal!$C$38:$BJ$38,Mensal!$C$6:$BJ$6,E$3)</f>
        <v>-1790267.0625</v>
      </c>
      <c r="F18" s="24" t="n">
        <f aca="false">SUMIFS(Mensal!$C$38:$BJ$38,Mensal!$C$6:$BJ$6,F$3)</f>
        <v>-2510020.40625</v>
      </c>
    </row>
    <row r="19" customFormat="false" ht="15" hidden="false" customHeight="false" outlineLevel="0" collapsed="false">
      <c r="A19" s="4" t="s">
        <v>223</v>
      </c>
      <c r="B19" s="24" t="n">
        <f aca="false">SUMIFS(Mensal!$C$39:$BJ$39,Mensal!$C$6:$BJ$6,B$3)</f>
        <v>-8164.79526372709</v>
      </c>
      <c r="C19" s="24" t="n">
        <f aca="false">SUMIFS(Mensal!$C$39:$BJ$39,Mensal!$C$6:$BJ$6,C$3)</f>
        <v>-31650.8671933952</v>
      </c>
      <c r="D19" s="24" t="n">
        <f aca="false">SUMIFS(Mensal!$C$39:$BJ$39,Mensal!$C$6:$BJ$6,D$3)</f>
        <v>-76223.3043813625</v>
      </c>
      <c r="E19" s="24" t="n">
        <f aca="false">SUMIFS(Mensal!$C$39:$BJ$39,Mensal!$C$6:$BJ$6,E$3)</f>
        <v>-138510.147260115</v>
      </c>
      <c r="F19" s="24" t="n">
        <f aca="false">SUMIFS(Mensal!$C$39:$BJ$39,Mensal!$C$6:$BJ$6,F$3)</f>
        <v>-209207.691325521</v>
      </c>
    </row>
    <row r="20" customFormat="false" ht="15" hidden="false" customHeight="false" outlineLevel="0" collapsed="false">
      <c r="A20" s="5" t="s">
        <v>224</v>
      </c>
      <c r="B20" s="25" t="n">
        <f aca="false">SUMIFS(Mensal!$C$40:$BJ$40,Mensal!$C$6:$BJ$6,B$3)</f>
        <v>-311544.253821339</v>
      </c>
      <c r="C20" s="25" t="n">
        <f aca="false">SUMIFS(Mensal!$C$40:$BJ$40,Mensal!$C$6:$BJ$6,C$3)</f>
        <v>-745330.330135603</v>
      </c>
      <c r="D20" s="25" t="n">
        <f aca="false">SUMIFS(Mensal!$C$40:$BJ$40,Mensal!$C$6:$BJ$6,D$3)</f>
        <v>-1561645.65521828</v>
      </c>
      <c r="E20" s="25" t="n">
        <f aca="false">SUMIFS(Mensal!$C$40:$BJ$40,Mensal!$C$6:$BJ$6,E$3)</f>
        <v>-2692378.36547363</v>
      </c>
      <c r="F20" s="25" t="n">
        <f aca="false">SUMIFS(Mensal!$C$40:$BJ$40,Mensal!$C$6:$BJ$6,F$3)</f>
        <v>-3903525.91737695</v>
      </c>
    </row>
    <row r="21" customFormat="false" ht="15" hidden="false" customHeight="false" outlineLevel="0" collapsed="false">
      <c r="A21" s="5" t="s">
        <v>225</v>
      </c>
      <c r="B21" s="25" t="n">
        <f aca="false">SUMIFS(Mensal!$C$41:$BJ$41,Mensal!$C$6:$BJ$6,B$3)</f>
        <v>-112284.646323411</v>
      </c>
      <c r="C21" s="25" t="n">
        <f aca="false">SUMIFS(Mensal!$C$41:$BJ$41,Mensal!$C$6:$BJ$6,C$3)</f>
        <v>1198212.24039704</v>
      </c>
      <c r="D21" s="25" t="n">
        <f aca="false">SUMIFS(Mensal!$C$41:$BJ$41,Mensal!$C$6:$BJ$6,D$3)</f>
        <v>3623645.14689433</v>
      </c>
      <c r="E21" s="25" t="n">
        <f aca="false">SUMIFS(Mensal!$C$41:$BJ$41,Mensal!$C$6:$BJ$6,E$3)</f>
        <v>7162866.41451879</v>
      </c>
      <c r="F21" s="25" t="n">
        <f aca="false">SUMIFS(Mensal!$C$41:$BJ$41,Mensal!$C$6:$BJ$6,F$3)</f>
        <v>11767610.1951323</v>
      </c>
    </row>
    <row r="22" customFormat="false" ht="15" hidden="false" customHeight="false" outlineLevel="0" collapsed="false">
      <c r="A22" s="4" t="s">
        <v>226</v>
      </c>
      <c r="B22" s="26" t="n">
        <f aca="false">IFERROR(B21/B14,0)</f>
        <v>-0.563509322001344</v>
      </c>
      <c r="C22" s="26" t="n">
        <f aca="false">IFERROR(C21/C14,0)</f>
        <v>0.616509387838446</v>
      </c>
      <c r="D22" s="26" t="n">
        <f aca="false">IFERROR(D21/D14,0)</f>
        <v>0.698831615271793</v>
      </c>
      <c r="E22" s="26" t="n">
        <f aca="false">IFERROR(E21/E14,0)</f>
        <v>0.726807560281045</v>
      </c>
      <c r="F22" s="26" t="n">
        <f aca="false">IFERROR(F21/F14,0)</f>
        <v>0.75090983261507</v>
      </c>
    </row>
    <row r="23" customFormat="false" ht="15" hidden="false" customHeight="false" outlineLevel="0" collapsed="false">
      <c r="A23" s="4" t="s">
        <v>227</v>
      </c>
      <c r="B23" s="24" t="n">
        <f aca="false">SUMIFS(Mensal!$C$52:$BJ$52,Mensal!$C$6:$BJ$6,B$3)</f>
        <v>-1296000</v>
      </c>
      <c r="C23" s="24" t="n">
        <f aca="false">SUMIFS(Mensal!$C$52:$BJ$52,Mensal!$C$6:$BJ$6,C$3)</f>
        <v>-2104200</v>
      </c>
      <c r="D23" s="24" t="n">
        <f aca="false">SUMIFS(Mensal!$C$52:$BJ$52,Mensal!$C$6:$BJ$6,D$3)</f>
        <v>-2209410</v>
      </c>
      <c r="E23" s="24" t="n">
        <f aca="false">SUMIFS(Mensal!$C$52:$BJ$52,Mensal!$C$6:$BJ$6,E$3)</f>
        <v>-2833866</v>
      </c>
      <c r="F23" s="24" t="n">
        <f aca="false">SUMIFS(Mensal!$C$52:$BJ$52,Mensal!$C$6:$BJ$6,F$3)</f>
        <v>-3923654.175</v>
      </c>
    </row>
    <row r="24" customFormat="false" ht="15" hidden="false" customHeight="false" outlineLevel="0" collapsed="false">
      <c r="A24" s="4" t="s">
        <v>228</v>
      </c>
      <c r="B24" s="24" t="n">
        <f aca="false">SUMIFS(Mensal!$C$53:$BJ$53,Mensal!$C$6:$BJ$6,B$3)</f>
        <v>-32451.84</v>
      </c>
      <c r="C24" s="24" t="n">
        <f aca="false">SUMIFS(Mensal!$C$53:$BJ$53,Mensal!$C$6:$BJ$6,C$3)</f>
        <v>-181730.304</v>
      </c>
      <c r="D24" s="24" t="n">
        <f aca="false">SUMIFS(Mensal!$C$53:$BJ$53,Mensal!$C$6:$BJ$6,D$3)</f>
        <v>-318028.032</v>
      </c>
      <c r="E24" s="24" t="n">
        <f aca="false">SUMIFS(Mensal!$C$53:$BJ$53,Mensal!$C$6:$BJ$6,E$3)</f>
        <v>-434108.26368</v>
      </c>
      <c r="F24" s="24" t="n">
        <f aca="false">SUMIFS(Mensal!$C$53:$BJ$53,Mensal!$C$6:$BJ$6,F$3)</f>
        <v>-525938.85792</v>
      </c>
    </row>
    <row r="25" customFormat="false" ht="15" hidden="false" customHeight="false" outlineLevel="0" collapsed="false">
      <c r="A25" s="4" t="s">
        <v>229</v>
      </c>
      <c r="B25" s="24" t="n">
        <f aca="false">SUMIFS(Mensal!$C$54:$BJ$54,Mensal!$C$6:$BJ$6,B$3)</f>
        <v>-67500</v>
      </c>
      <c r="C25" s="24" t="n">
        <f aca="false">SUMIFS(Mensal!$C$54:$BJ$54,Mensal!$C$6:$BJ$6,C$3)</f>
        <v>-378000</v>
      </c>
      <c r="D25" s="24" t="n">
        <f aca="false">SUMIFS(Mensal!$C$54:$BJ$54,Mensal!$C$6:$BJ$6,D$3)</f>
        <v>-661500</v>
      </c>
      <c r="E25" s="24" t="n">
        <f aca="false">SUMIFS(Mensal!$C$54:$BJ$54,Mensal!$C$6:$BJ$6,E$3)</f>
        <v>-902947.5</v>
      </c>
      <c r="F25" s="24" t="n">
        <f aca="false">SUMIFS(Mensal!$C$54:$BJ$54,Mensal!$C$6:$BJ$6,F$3)</f>
        <v>-1093955.625</v>
      </c>
    </row>
    <row r="26" customFormat="false" ht="15" hidden="false" customHeight="false" outlineLevel="0" collapsed="false">
      <c r="A26" s="4" t="s">
        <v>230</v>
      </c>
      <c r="B26" s="24" t="n">
        <f aca="false">SUMIFS(Mensal!$C$55:$BJ$55,Mensal!$C$6:$BJ$6,B$3)</f>
        <v>-50000</v>
      </c>
      <c r="C26" s="24" t="n">
        <f aca="false">SUMIFS(Mensal!$C$55:$BJ$55,Mensal!$C$6:$BJ$6,C$3)</f>
        <v>-151200</v>
      </c>
      <c r="D26" s="24" t="n">
        <f aca="false">SUMIFS(Mensal!$C$55:$BJ$55,Mensal!$C$6:$BJ$6,D$3)</f>
        <v>-264600</v>
      </c>
      <c r="E26" s="24" t="n">
        <f aca="false">SUMIFS(Mensal!$C$55:$BJ$55,Mensal!$C$6:$BJ$6,E$3)</f>
        <v>-388962</v>
      </c>
      <c r="F26" s="24" t="n">
        <f aca="false">SUMIFS(Mensal!$C$55:$BJ$55,Mensal!$C$6:$BJ$6,F$3)</f>
        <v>-525098.7</v>
      </c>
    </row>
    <row r="27" customFormat="false" ht="15" hidden="false" customHeight="false" outlineLevel="0" collapsed="false">
      <c r="A27" s="4" t="s">
        <v>231</v>
      </c>
      <c r="B27" s="24" t="n">
        <f aca="false">SUMIFS(Mensal!$C$56:$BJ$56,Mensal!$C$6:$BJ$6,B$3)</f>
        <v>0</v>
      </c>
      <c r="C27" s="24" t="n">
        <f aca="false">SUMIFS(Mensal!$C$56:$BJ$56,Mensal!$C$6:$BJ$6,C$3)</f>
        <v>-55000</v>
      </c>
      <c r="D27" s="24" t="n">
        <f aca="false">SUMIFS(Mensal!$C$56:$BJ$56,Mensal!$C$6:$BJ$6,D$3)</f>
        <v>-90000</v>
      </c>
      <c r="E27" s="24" t="n">
        <f aca="false">SUMIFS(Mensal!$C$56:$BJ$56,Mensal!$C$6:$BJ$6,E$3)</f>
        <v>-140000</v>
      </c>
      <c r="F27" s="24" t="n">
        <f aca="false">SUMIFS(Mensal!$C$56:$BJ$56,Mensal!$C$6:$BJ$6,F$3)</f>
        <v>-190000</v>
      </c>
    </row>
    <row r="28" customFormat="false" ht="15" hidden="false" customHeight="false" outlineLevel="0" collapsed="false">
      <c r="A28" s="4" t="s">
        <v>232</v>
      </c>
      <c r="B28" s="24" t="n">
        <f aca="false">SUMIFS(Mensal!$C$57:$BJ$57,Mensal!$C$6:$BJ$6,B$3)</f>
        <v>-144000</v>
      </c>
      <c r="C28" s="24" t="n">
        <f aca="false">SUMIFS(Mensal!$C$57:$BJ$57,Mensal!$C$6:$BJ$6,C$3)</f>
        <v>-201600</v>
      </c>
      <c r="D28" s="24" t="n">
        <f aca="false">SUMIFS(Mensal!$C$57:$BJ$57,Mensal!$C$6:$BJ$6,D$3)</f>
        <v>-291060</v>
      </c>
      <c r="E28" s="24" t="n">
        <f aca="false">SUMIFS(Mensal!$C$57:$BJ$57,Mensal!$C$6:$BJ$6,E$3)</f>
        <v>-388962</v>
      </c>
      <c r="F28" s="24" t="n">
        <f aca="false">SUMIFS(Mensal!$C$57:$BJ$57,Mensal!$C$6:$BJ$6,F$3)</f>
        <v>-495926.55</v>
      </c>
    </row>
    <row r="29" customFormat="false" ht="15" hidden="false" customHeight="false" outlineLevel="0" collapsed="false">
      <c r="A29" s="4" t="s">
        <v>233</v>
      </c>
      <c r="B29" s="24" t="n">
        <f aca="false">SUMIFS(Mensal!$C$58:$BJ$58,Mensal!$C$6:$BJ$6,B$3)</f>
        <v>-136000</v>
      </c>
      <c r="C29" s="24" t="n">
        <f aca="false">SUMIFS(Mensal!$C$58:$BJ$58,Mensal!$C$6:$BJ$6,C$3)</f>
        <v>-20000</v>
      </c>
      <c r="D29" s="24" t="n">
        <f aca="false">SUMIFS(Mensal!$C$58:$BJ$58,Mensal!$C$6:$BJ$6,D$3)</f>
        <v>-20000</v>
      </c>
      <c r="E29" s="24" t="n">
        <f aca="false">SUMIFS(Mensal!$C$58:$BJ$58,Mensal!$C$6:$BJ$6,E$3)</f>
        <v>-20000</v>
      </c>
      <c r="F29" s="24" t="n">
        <f aca="false">SUMIFS(Mensal!$C$58:$BJ$58,Mensal!$C$6:$BJ$6,F$3)</f>
        <v>-20000</v>
      </c>
    </row>
    <row r="30" customFormat="false" ht="15" hidden="false" customHeight="false" outlineLevel="0" collapsed="false">
      <c r="A30" s="5" t="s">
        <v>234</v>
      </c>
      <c r="B30" s="25" t="n">
        <f aca="false">SUMIFS(Mensal!$C$59:$BJ$59,Mensal!$C$6:$BJ$6,B$3)</f>
        <v>-1725951.84</v>
      </c>
      <c r="C30" s="25" t="n">
        <f aca="false">SUMIFS(Mensal!$C$59:$BJ$59,Mensal!$C$6:$BJ$6,C$3)</f>
        <v>-3091730.304</v>
      </c>
      <c r="D30" s="25" t="n">
        <f aca="false">SUMIFS(Mensal!$C$59:$BJ$59,Mensal!$C$6:$BJ$6,D$3)</f>
        <v>-3854598.032</v>
      </c>
      <c r="E30" s="25" t="n">
        <f aca="false">SUMIFS(Mensal!$C$59:$BJ$59,Mensal!$C$6:$BJ$6,E$3)</f>
        <v>-5108845.76368</v>
      </c>
      <c r="F30" s="25" t="n">
        <f aca="false">SUMIFS(Mensal!$C$59:$BJ$59,Mensal!$C$6:$BJ$6,F$3)</f>
        <v>-6774573.90792</v>
      </c>
    </row>
    <row r="31" customFormat="false" ht="15" hidden="false" customHeight="false" outlineLevel="0" collapsed="false">
      <c r="A31" s="5" t="s">
        <v>235</v>
      </c>
      <c r="B31" s="25" t="n">
        <f aca="false">SUMIFS(Mensal!$C$60:$BJ$60,Mensal!$C$6:$BJ$6,B$3)</f>
        <v>-1838236.48632341</v>
      </c>
      <c r="C31" s="25" t="n">
        <f aca="false">SUMIFS(Mensal!$C$60:$BJ$60,Mensal!$C$6:$BJ$6,C$3)</f>
        <v>-1893518.06360296</v>
      </c>
      <c r="D31" s="25" t="n">
        <f aca="false">SUMIFS(Mensal!$C$60:$BJ$60,Mensal!$C$6:$BJ$6,D$3)</f>
        <v>-230952.885105675</v>
      </c>
      <c r="E31" s="25" t="n">
        <f aca="false">SUMIFS(Mensal!$C$60:$BJ$60,Mensal!$C$6:$BJ$6,E$3)</f>
        <v>2054020.65083879</v>
      </c>
      <c r="F31" s="25" t="n">
        <f aca="false">SUMIFS(Mensal!$C$60:$BJ$60,Mensal!$C$6:$BJ$6,F$3)</f>
        <v>4993036.28721232</v>
      </c>
    </row>
    <row r="32" customFormat="false" ht="15" hidden="false" customHeight="false" outlineLevel="0" collapsed="false">
      <c r="A32" s="4" t="s">
        <v>236</v>
      </c>
      <c r="B32" s="26" t="n">
        <f aca="false">IFERROR(B31/B14,0)</f>
        <v>-9.22533427324214</v>
      </c>
      <c r="C32" s="26" t="n">
        <f aca="false">IFERROR(C31/C14,0)</f>
        <v>-0.974261172516552</v>
      </c>
      <c r="D32" s="26" t="n">
        <f aca="false">IFERROR(D31/D14,0)</f>
        <v>-0.0445400063216473</v>
      </c>
      <c r="E32" s="26" t="n">
        <f aca="false">IFERROR(E31/E14,0)</f>
        <v>0.208419039475179</v>
      </c>
      <c r="F32" s="26" t="n">
        <f aca="false">IFERROR(F31/F14,0)</f>
        <v>0.318613548588012</v>
      </c>
    </row>
    <row r="33" customFormat="false" ht="15" hidden="false" customHeight="false" outlineLevel="0" collapsed="false">
      <c r="A33" s="7" t="s">
        <v>237</v>
      </c>
      <c r="B33" s="8"/>
      <c r="C33" s="8"/>
      <c r="D33" s="8"/>
      <c r="E33" s="8"/>
      <c r="F33" s="8"/>
    </row>
    <row r="34" customFormat="false" ht="15" hidden="false" customHeight="false" outlineLevel="0" collapsed="false">
      <c r="A34" s="4" t="s">
        <v>238</v>
      </c>
      <c r="B34" s="19" t="n">
        <f aca="false">B31</f>
        <v>-1838236.48632341</v>
      </c>
      <c r="C34" s="19" t="n">
        <f aca="false">C31</f>
        <v>-1893518.06360296</v>
      </c>
      <c r="D34" s="19" t="n">
        <f aca="false">D31</f>
        <v>-230952.885105675</v>
      </c>
      <c r="E34" s="19" t="n">
        <f aca="false">E31</f>
        <v>2054020.65083879</v>
      </c>
      <c r="F34" s="19" t="n">
        <f aca="false">F31</f>
        <v>4993036.28721232</v>
      </c>
    </row>
    <row r="35" customFormat="false" ht="15" hidden="false" customHeight="false" outlineLevel="0" collapsed="false">
      <c r="A35" s="4" t="s">
        <v>239</v>
      </c>
      <c r="B35" s="24" t="n">
        <f aca="false">SUMIFS(Mensal!$C$66:$BJ$66,Mensal!$C$6:$BJ$6,B$3)</f>
        <v>102001.119594556</v>
      </c>
      <c r="C35" s="24" t="n">
        <f aca="false">SUMIFS(Mensal!$C$66:$BJ$66,Mensal!$C$6:$BJ$6,C$3)</f>
        <v>39563.9506378719</v>
      </c>
      <c r="D35" s="24" t="n">
        <f aca="false">SUMIFS(Mensal!$C$66:$BJ$66,Mensal!$C$6:$BJ$6,D$3)</f>
        <v>-5087.67535141158</v>
      </c>
      <c r="E35" s="24" t="n">
        <f aca="false">SUMIFS(Mensal!$C$66:$BJ$66,Mensal!$C$6:$BJ$6,E$3)</f>
        <v>-4169.75143848176</v>
      </c>
      <c r="F35" s="24" t="n">
        <f aca="false">SUMIFS(Mensal!$C$66:$BJ$66,Mensal!$C$6:$BJ$6,F$3)</f>
        <v>-17092.7135530711</v>
      </c>
    </row>
    <row r="36" customFormat="false" ht="15" hidden="false" customHeight="false" outlineLevel="0" collapsed="false">
      <c r="A36" s="5" t="s">
        <v>240</v>
      </c>
      <c r="B36" s="25" t="n">
        <f aca="false">SUMIFS(Mensal!$C$67:$BJ$67,Mensal!$C$6:$BJ$6,B$3)</f>
        <v>-1736235.36672886</v>
      </c>
      <c r="C36" s="25" t="n">
        <f aca="false">SUMIFS(Mensal!$C$67:$BJ$67,Mensal!$C$6:$BJ$6,C$3)</f>
        <v>-1853954.11296509</v>
      </c>
      <c r="D36" s="25" t="n">
        <f aca="false">SUMIFS(Mensal!$C$67:$BJ$67,Mensal!$C$6:$BJ$6,D$3)</f>
        <v>-236040.560457087</v>
      </c>
      <c r="E36" s="25" t="n">
        <f aca="false">SUMIFS(Mensal!$C$67:$BJ$67,Mensal!$C$6:$BJ$6,E$3)</f>
        <v>2049850.89940031</v>
      </c>
      <c r="F36" s="25" t="n">
        <f aca="false">SUMIFS(Mensal!$C$67:$BJ$67,Mensal!$C$6:$BJ$6,F$3)</f>
        <v>4975943.57365925</v>
      </c>
    </row>
    <row r="37" customFormat="false" ht="15" hidden="false" customHeight="false" outlineLevel="0" collapsed="false">
      <c r="A37" s="4" t="s">
        <v>241</v>
      </c>
      <c r="B37" s="24" t="n">
        <f aca="false">SUMIFS(Mensal!$C$69:$BJ$69,Mensal!$C$6:$BJ$6,B$3)</f>
        <v>3760000</v>
      </c>
      <c r="C37" s="24" t="n">
        <f aca="false">SUMIFS(Mensal!$C$69:$BJ$69,Mensal!$C$6:$BJ$6,C$3)</f>
        <v>940000</v>
      </c>
      <c r="D37" s="24" t="n">
        <f aca="false">SUMIFS(Mensal!$C$69:$BJ$69,Mensal!$C$6:$BJ$6,D$3)</f>
        <v>0</v>
      </c>
      <c r="E37" s="24" t="n">
        <f aca="false">SUMIFS(Mensal!$C$69:$BJ$69,Mensal!$C$6:$BJ$6,E$3)</f>
        <v>0</v>
      </c>
      <c r="F37" s="24" t="n">
        <f aca="false">SUMIFS(Mensal!$C$69:$BJ$69,Mensal!$C$6:$BJ$6,F$3)</f>
        <v>0</v>
      </c>
    </row>
    <row r="38" customFormat="false" ht="15" hidden="false" customHeight="false" outlineLevel="0" collapsed="false">
      <c r="A38" s="5" t="s">
        <v>242</v>
      </c>
      <c r="B38" s="25" t="n">
        <f aca="false">B36+B37</f>
        <v>2023764.63327114</v>
      </c>
      <c r="C38" s="25" t="n">
        <f aca="false">C36+C37</f>
        <v>-913954.112965091</v>
      </c>
      <c r="D38" s="25" t="n">
        <f aca="false">D36+D37</f>
        <v>-236040.560457087</v>
      </c>
      <c r="E38" s="25" t="n">
        <f aca="false">E36+E37</f>
        <v>2049850.89940031</v>
      </c>
      <c r="F38" s="25" t="n">
        <f aca="false">F36+F37</f>
        <v>4975943.57365925</v>
      </c>
    </row>
    <row r="39" customFormat="false" ht="15" hidden="false" customHeight="false" outlineLevel="0" collapsed="false">
      <c r="A39" s="5" t="s">
        <v>243</v>
      </c>
      <c r="B39" s="25" t="n">
        <f aca="false">INDEX(Mensal!$C$70:$BJ$70,1,12*B$3)</f>
        <v>2023764.63327114</v>
      </c>
      <c r="C39" s="25" t="n">
        <f aca="false">INDEX(Mensal!$C$70:$BJ$70,1,12*C$3)</f>
        <v>1109810.52030605</v>
      </c>
      <c r="D39" s="25" t="n">
        <f aca="false">INDEX(Mensal!$C$70:$BJ$70,1,12*D$3)</f>
        <v>873769.959848966</v>
      </c>
      <c r="E39" s="25" t="n">
        <f aca="false">INDEX(Mensal!$C$70:$BJ$70,1,12*E$3)</f>
        <v>2923620.85924928</v>
      </c>
      <c r="F39" s="25" t="n">
        <f aca="false">INDEX(Mensal!$C$70:$BJ$70,1,12*F$3)</f>
        <v>7899564.43290853</v>
      </c>
    </row>
    <row r="40" customFormat="false" ht="15" hidden="false" customHeight="false" outlineLevel="0" collapsed="false">
      <c r="A40" s="4" t="s">
        <v>244</v>
      </c>
      <c r="B40" s="24" t="n">
        <f aca="false">INDEX(Mensal!$C$68:$BJ$68,1,12*B$3)</f>
        <v>-1736235.36672886</v>
      </c>
      <c r="C40" s="24" t="n">
        <f aca="false">INDEX(Mensal!$C$68:$BJ$68,1,12*C$3)</f>
        <v>-3590189.47969395</v>
      </c>
      <c r="D40" s="24" t="n">
        <f aca="false">INDEX(Mensal!$C$68:$BJ$68,1,12*D$3)</f>
        <v>-3826230.04015103</v>
      </c>
      <c r="E40" s="24" t="n">
        <f aca="false">INDEX(Mensal!$C$68:$BJ$68,1,12*E$3)</f>
        <v>-1776379.14075072</v>
      </c>
      <c r="F40" s="24" t="n">
        <f aca="false">INDEX(Mensal!$C$68:$BJ$68,1,12*F$3)</f>
        <v>3199564.43290853</v>
      </c>
    </row>
    <row r="41" customFormat="false" ht="15" hidden="false" customHeight="false" outlineLevel="0" collapsed="false">
      <c r="A41" s="7" t="s">
        <v>245</v>
      </c>
      <c r="B41" s="8"/>
      <c r="C41" s="8"/>
      <c r="D41" s="8"/>
      <c r="E41" s="8"/>
      <c r="F41" s="8"/>
    </row>
    <row r="42" customFormat="false" ht="15" hidden="false" customHeight="false" outlineLevel="0" collapsed="false">
      <c r="A42" s="4" t="s">
        <v>246</v>
      </c>
      <c r="B42" s="19" t="n">
        <f aca="false">B39</f>
        <v>2023764.63327114</v>
      </c>
      <c r="C42" s="19" t="n">
        <f aca="false">C39</f>
        <v>1109810.52030605</v>
      </c>
      <c r="D42" s="19" t="n">
        <f aca="false">D39</f>
        <v>873769.959848966</v>
      </c>
      <c r="E42" s="19" t="n">
        <f aca="false">E39</f>
        <v>2923620.85924928</v>
      </c>
      <c r="F42" s="19" t="n">
        <f aca="false">F39</f>
        <v>7899564.43290853</v>
      </c>
    </row>
    <row r="43" customFormat="false" ht="15" hidden="false" customHeight="false" outlineLevel="0" collapsed="false">
      <c r="A43" s="4" t="s">
        <v>247</v>
      </c>
      <c r="B43" s="24" t="n">
        <f aca="false">INDEX(Mensal!$C$64:$BJ$64,1,12*B$3)</f>
        <v>11804.1839372554</v>
      </c>
      <c r="C43" s="24" t="n">
        <f aca="false">INDEX(Mensal!$C$64:$BJ$64,1,12*C$3)</f>
        <v>78206.1444343901</v>
      </c>
      <c r="D43" s="24" t="n">
        <f aca="false">INDEX(Mensal!$C$64:$BJ$64,1,12*D$3)</f>
        <v>182560.100036403</v>
      </c>
      <c r="E43" s="24" t="n">
        <f aca="false">INDEX(Mensal!$C$64:$BJ$64,1,12*E$3)</f>
        <v>322515.949398379</v>
      </c>
      <c r="F43" s="24" t="n">
        <f aca="false">INDEX(Mensal!$C$64:$BJ$64,1,12*F$3)</f>
        <v>489707.095675257</v>
      </c>
    </row>
    <row r="44" customFormat="false" ht="15" hidden="false" customHeight="false" outlineLevel="0" collapsed="false">
      <c r="A44" s="5" t="s">
        <v>248</v>
      </c>
      <c r="B44" s="25" t="n">
        <f aca="false">B42+B43</f>
        <v>2035568.8172084</v>
      </c>
      <c r="C44" s="25" t="n">
        <f aca="false">C42+C43</f>
        <v>1188016.66474044</v>
      </c>
      <c r="D44" s="25" t="n">
        <f aca="false">D42+D43</f>
        <v>1056330.05988537</v>
      </c>
      <c r="E44" s="25" t="n">
        <f aca="false">E42+E43</f>
        <v>3246136.80864766</v>
      </c>
      <c r="F44" s="25" t="n">
        <f aca="false">F42+F43</f>
        <v>8389271.52858379</v>
      </c>
    </row>
    <row r="45" customFormat="false" ht="15" hidden="false" customHeight="false" outlineLevel="0" collapsed="false">
      <c r="A45" s="4" t="s">
        <v>249</v>
      </c>
      <c r="B45" s="24" t="n">
        <f aca="false">INDEX(Mensal!$C$65:$BJ$65,1,12*B$3)</f>
        <v>113805.303531811</v>
      </c>
      <c r="C45" s="24" t="n">
        <f aca="false">INDEX(Mensal!$C$65:$BJ$65,1,12*C$3)</f>
        <v>219771.214666818</v>
      </c>
      <c r="D45" s="24" t="n">
        <f aca="false">INDEX(Mensal!$C$65:$BJ$65,1,12*D$3)</f>
        <v>319037.49491742</v>
      </c>
      <c r="E45" s="24" t="n">
        <f aca="false">INDEX(Mensal!$C$65:$BJ$65,1,12*E$3)</f>
        <v>454823.592840913</v>
      </c>
      <c r="F45" s="24" t="n">
        <f aca="false">INDEX(Mensal!$C$65:$BJ$65,1,12*F$3)</f>
        <v>604922.02556472</v>
      </c>
    </row>
    <row r="46" customFormat="false" ht="15" hidden="false" customHeight="false" outlineLevel="0" collapsed="false">
      <c r="A46" s="4" t="s">
        <v>250</v>
      </c>
      <c r="B46" s="24" t="n">
        <f aca="false">SUMIFS(Mensal!$C$69:$BJ$69,Mensal!$C$5:$BJ$5,"&lt;="&amp;12*B$3)</f>
        <v>3760000</v>
      </c>
      <c r="C46" s="24" t="n">
        <f aca="false">SUMIFS(Mensal!$C$69:$BJ$69,Mensal!$C$5:$BJ$5,"&lt;="&amp;12*C$3)</f>
        <v>4700000</v>
      </c>
      <c r="D46" s="24" t="n">
        <f aca="false">SUMIFS(Mensal!$C$69:$BJ$69,Mensal!$C$5:$BJ$5,"&lt;="&amp;12*D$3)</f>
        <v>4700000</v>
      </c>
      <c r="E46" s="24" t="n">
        <f aca="false">SUMIFS(Mensal!$C$69:$BJ$69,Mensal!$C$5:$BJ$5,"&lt;="&amp;12*E$3)</f>
        <v>4700000</v>
      </c>
      <c r="F46" s="24" t="n">
        <f aca="false">SUMIFS(Mensal!$C$69:$BJ$69,Mensal!$C$5:$BJ$5,"&lt;="&amp;12*F$3)</f>
        <v>4700000</v>
      </c>
    </row>
    <row r="47" customFormat="false" ht="15" hidden="false" customHeight="false" outlineLevel="0" collapsed="false">
      <c r="A47" s="4" t="s">
        <v>251</v>
      </c>
      <c r="B47" s="24" t="n">
        <f aca="false">SUMIFS(Mensal!$C$60:$BJ$60,Mensal!$C$5:$BJ$5,"&lt;="&amp;12*B$3)</f>
        <v>-1838236.48632341</v>
      </c>
      <c r="C47" s="24" t="n">
        <f aca="false">SUMIFS(Mensal!$C$60:$BJ$60,Mensal!$C$5:$BJ$5,"&lt;="&amp;12*C$3)</f>
        <v>-3731754.54992638</v>
      </c>
      <c r="D47" s="24" t="n">
        <f aca="false">SUMIFS(Mensal!$C$60:$BJ$60,Mensal!$C$5:$BJ$5,"&lt;="&amp;12*D$3)</f>
        <v>-3962707.43503205</v>
      </c>
      <c r="E47" s="24" t="n">
        <f aca="false">SUMIFS(Mensal!$C$60:$BJ$60,Mensal!$C$5:$BJ$5,"&lt;="&amp;12*E$3)</f>
        <v>-1908686.78419326</v>
      </c>
      <c r="F47" s="24" t="n">
        <f aca="false">SUMIFS(Mensal!$C$60:$BJ$60,Mensal!$C$5:$BJ$5,"&lt;="&amp;12*F$3)</f>
        <v>3084349.50301907</v>
      </c>
    </row>
    <row r="48" customFormat="false" ht="15" hidden="false" customHeight="false" outlineLevel="0" collapsed="false">
      <c r="A48" s="5" t="s">
        <v>252</v>
      </c>
      <c r="B48" s="25" t="n">
        <f aca="false">B46+B47</f>
        <v>1921763.51367659</v>
      </c>
      <c r="C48" s="25" t="n">
        <f aca="false">C46+C47</f>
        <v>968245.450073625</v>
      </c>
      <c r="D48" s="25" t="n">
        <f aca="false">D46+D47</f>
        <v>737292.56496795</v>
      </c>
      <c r="E48" s="25" t="n">
        <f aca="false">E46+E47</f>
        <v>2791313.21580674</v>
      </c>
      <c r="F48" s="25" t="n">
        <f aca="false">F46+F47</f>
        <v>7784349.50301907</v>
      </c>
    </row>
    <row r="49" customFormat="false" ht="15" hidden="false" customHeight="false" outlineLevel="0" collapsed="false">
      <c r="A49" s="5" t="s">
        <v>253</v>
      </c>
      <c r="B49" s="25" t="n">
        <f aca="false">B45+B48</f>
        <v>2035568.8172084</v>
      </c>
      <c r="C49" s="25" t="n">
        <f aca="false">C45+C48</f>
        <v>1188016.66474044</v>
      </c>
      <c r="D49" s="25" t="n">
        <f aca="false">D45+D48</f>
        <v>1056330.05988537</v>
      </c>
      <c r="E49" s="25" t="n">
        <f aca="false">E45+E48</f>
        <v>3246136.80864765</v>
      </c>
      <c r="F49" s="25" t="n">
        <f aca="false">F45+F48</f>
        <v>8389271.52858379</v>
      </c>
    </row>
    <row r="50" customFormat="false" ht="15" hidden="false" customHeight="false" outlineLevel="0" collapsed="false">
      <c r="A50" s="4" t="s">
        <v>254</v>
      </c>
      <c r="B50" s="19" t="n">
        <f aca="false">ROUND(B44-B49,0)</f>
        <v>0</v>
      </c>
      <c r="C50" s="19" t="n">
        <f aca="false">ROUND(C44-C49,0)</f>
        <v>0</v>
      </c>
      <c r="D50" s="19" t="n">
        <f aca="false">ROUND(D44-D49,0)</f>
        <v>0</v>
      </c>
      <c r="E50" s="19" t="n">
        <f aca="false">ROUND(E44-E49,0)</f>
        <v>0</v>
      </c>
      <c r="F50" s="19" t="n">
        <f aca="false">ROUND(F44-F49,0)</f>
        <v>0</v>
      </c>
    </row>
    <row r="51" customFormat="false" ht="15" hidden="false" customHeight="false" outlineLevel="0" collapsed="false">
      <c r="A51" s="7" t="s">
        <v>255</v>
      </c>
      <c r="B51" s="8"/>
      <c r="C51" s="8"/>
      <c r="D51" s="8"/>
      <c r="E51" s="8"/>
      <c r="F51" s="8"/>
    </row>
    <row r="52" customFormat="false" ht="15" hidden="false" customHeight="false" outlineLevel="0" collapsed="false">
      <c r="A52" s="5" t="s">
        <v>256</v>
      </c>
      <c r="B52" s="25" t="n">
        <f aca="false">INDEX(Mensal!$C$11:$BJ$11,1,12*B$3)</f>
        <v>25.7396425918239</v>
      </c>
      <c r="C52" s="25" t="n">
        <f aca="false">INDEX(Mensal!$C$11:$BJ$11,1,12*C$3)</f>
        <v>157.13432766091</v>
      </c>
      <c r="D52" s="25" t="n">
        <f aca="false">INDEX(Mensal!$C$11:$BJ$11,1,12*D$3)</f>
        <v>360.719051987493</v>
      </c>
      <c r="E52" s="25" t="n">
        <f aca="false">INDEX(Mensal!$C$11:$BJ$11,1,12*E$3)</f>
        <v>604.280145567554</v>
      </c>
      <c r="F52" s="25" t="n">
        <f aca="false">INDEX(Mensal!$C$11:$BJ$11,1,12*F$3)</f>
        <v>859.948470115842</v>
      </c>
    </row>
    <row r="53" customFormat="false" ht="15" hidden="false" customHeight="false" outlineLevel="0" collapsed="false">
      <c r="A53" s="4" t="s">
        <v>257</v>
      </c>
      <c r="B53" s="24" t="n">
        <f aca="false">SUMIFS(Mensal!$C$9:$BJ$9,Mensal!$C$6:$BJ$6,B$3)</f>
        <v>27</v>
      </c>
      <c r="C53" s="24" t="n">
        <f aca="false">SUMIFS(Mensal!$C$9:$BJ$9,Mensal!$C$6:$BJ$6,C$3)</f>
        <v>144</v>
      </c>
      <c r="D53" s="24" t="n">
        <f aca="false">SUMIFS(Mensal!$C$9:$BJ$9,Mensal!$C$6:$BJ$6,D$3)</f>
        <v>240</v>
      </c>
      <c r="E53" s="24" t="n">
        <f aca="false">SUMIFS(Mensal!$C$9:$BJ$9,Mensal!$C$6:$BJ$6,E$3)</f>
        <v>312</v>
      </c>
      <c r="F53" s="24" t="n">
        <f aca="false">SUMIFS(Mensal!$C$9:$BJ$9,Mensal!$C$6:$BJ$6,F$3)</f>
        <v>360</v>
      </c>
    </row>
    <row r="54" customFormat="false" ht="15" hidden="false" customHeight="false" outlineLevel="0" collapsed="false">
      <c r="A54" s="4" t="s">
        <v>258</v>
      </c>
      <c r="B54" s="24" t="n">
        <f aca="false">SUMIFS(Mensal!$C$10:$BJ$10,Mensal!$C$6:$BJ$6,B$3)</f>
        <v>1.26035740817614</v>
      </c>
      <c r="C54" s="24" t="n">
        <f aca="false">SUMIFS(Mensal!$C$10:$BJ$10,Mensal!$C$6:$BJ$6,C$3)</f>
        <v>12.6053149309142</v>
      </c>
      <c r="D54" s="24" t="n">
        <f aca="false">SUMIFS(Mensal!$C$10:$BJ$10,Mensal!$C$6:$BJ$6,D$3)</f>
        <v>36.4152756734169</v>
      </c>
      <c r="E54" s="24" t="n">
        <f aca="false">SUMIFS(Mensal!$C$10:$BJ$10,Mensal!$C$6:$BJ$6,E$3)</f>
        <v>68.4389064199388</v>
      </c>
      <c r="F54" s="24" t="n">
        <f aca="false">SUMIFS(Mensal!$C$10:$BJ$10,Mensal!$C$6:$BJ$6,F$3)</f>
        <v>104.331675451712</v>
      </c>
    </row>
    <row r="55" customFormat="false" ht="15" hidden="false" customHeight="false" outlineLevel="0" collapsed="false">
      <c r="A55" s="4" t="s">
        <v>259</v>
      </c>
      <c r="B55" s="24" t="n">
        <f aca="false">INDEX(Mensal!$C$13:$BJ$13,1,12*B$3)</f>
        <v>4375.73924061006</v>
      </c>
      <c r="C55" s="24" t="n">
        <f aca="false">INDEX(Mensal!$C$13:$BJ$13,1,12*C$3)</f>
        <v>26712.8357023546</v>
      </c>
      <c r="D55" s="24" t="n">
        <f aca="false">INDEX(Mensal!$C$13:$BJ$13,1,12*D$3)</f>
        <v>61322.2388378738</v>
      </c>
      <c r="E55" s="24" t="n">
        <f aca="false">INDEX(Mensal!$C$13:$BJ$13,1,12*E$3)</f>
        <v>102727.624746484</v>
      </c>
      <c r="F55" s="24" t="n">
        <f aca="false">INDEX(Mensal!$C$13:$BJ$13,1,12*F$3)</f>
        <v>146191.239919693</v>
      </c>
    </row>
    <row r="56" customFormat="false" ht="15" hidden="false" customHeight="false" outlineLevel="0" collapsed="false">
      <c r="A56" s="4" t="s">
        <v>260</v>
      </c>
      <c r="B56" s="24" t="n">
        <f aca="false">INDEX(Mensal!$C$14:$BJ$14,1,12*B$3)</f>
        <v>0</v>
      </c>
      <c r="C56" s="24" t="n">
        <f aca="false">INDEX(Mensal!$C$14:$BJ$14,1,12*C$3)</f>
        <v>12</v>
      </c>
      <c r="D56" s="24" t="n">
        <f aca="false">INDEX(Mensal!$C$14:$BJ$14,1,12*D$3)</f>
        <v>36</v>
      </c>
      <c r="E56" s="24" t="n">
        <f aca="false">INDEX(Mensal!$C$14:$BJ$14,1,12*E$3)</f>
        <v>72</v>
      </c>
      <c r="F56" s="24" t="n">
        <f aca="false">INDEX(Mensal!$C$14:$BJ$14,1,12*F$3)</f>
        <v>120</v>
      </c>
    </row>
    <row r="57" customFormat="false" ht="15" hidden="false" customHeight="false" outlineLevel="0" collapsed="false">
      <c r="A57" s="4" t="s">
        <v>261</v>
      </c>
      <c r="B57" s="24" t="n">
        <f aca="false">INDEX(Mensal!$C$15:$BJ$15,1,12*B$3)</f>
        <v>1252</v>
      </c>
      <c r="C57" s="24" t="n">
        <f aca="false">INDEX(Mensal!$C$15:$BJ$15,1,12*C$3)</f>
        <v>1314.6</v>
      </c>
      <c r="D57" s="24" t="n">
        <f aca="false">INDEX(Mensal!$C$15:$BJ$15,1,12*D$3)</f>
        <v>1380.33</v>
      </c>
      <c r="E57" s="24" t="n">
        <f aca="false">INDEX(Mensal!$C$15:$BJ$15,1,12*E$3)</f>
        <v>1449.3465</v>
      </c>
      <c r="F57" s="24" t="n">
        <f aca="false">INDEX(Mensal!$C$15:$BJ$15,1,12*F$3)</f>
        <v>1521.813825</v>
      </c>
    </row>
    <row r="58" customFormat="false" ht="15" hidden="false" customHeight="false" outlineLevel="0" collapsed="false">
      <c r="A58" s="5" t="s">
        <v>262</v>
      </c>
      <c r="B58" s="25" t="n">
        <f aca="false">INDEX(Mensal!$C$27:$BJ$27,1,12*B$3)*12</f>
        <v>366251.129511907</v>
      </c>
      <c r="C58" s="25" t="n">
        <f aca="false">INDEX(Mensal!$C$27:$BJ$27,1,12*C$3)*12</f>
        <v>2699779.63438918</v>
      </c>
      <c r="D58" s="25" t="n">
        <f aca="false">INDEX(Mensal!$C$27:$BJ$27,1,12*D$3)*12</f>
        <v>6923404.63598911</v>
      </c>
      <c r="E58" s="25" t="n">
        <f aca="false">INDEX(Mensal!$C$27:$BJ$27,1,12*E$3)*12</f>
        <v>12639616.9132345</v>
      </c>
      <c r="F58" s="25" t="n">
        <f aca="false">INDEX(Mensal!$C$27:$BJ$27,1,12*F$3)*12</f>
        <v>19456170.7117084</v>
      </c>
    </row>
    <row r="59" customFormat="false" ht="15" hidden="false" customHeight="false" outlineLevel="0" collapsed="false">
      <c r="A59" s="4" t="s">
        <v>263</v>
      </c>
      <c r="B59" s="26" t="n">
        <f aca="false">1-(1-churn_m*f_churn*s_churn)^12</f>
        <v>0.134866090024062</v>
      </c>
      <c r="C59" s="26" t="n">
        <f aca="false">1-(1-churn_m*f_churn*s_churn)^12</f>
        <v>0.134866090024062</v>
      </c>
      <c r="D59" s="26" t="n">
        <f aca="false">1-(1-churn_m*f_churn*s_churn)^12</f>
        <v>0.134866090024062</v>
      </c>
      <c r="E59" s="26" t="n">
        <f aca="false">1-(1-churn_m*f_churn*s_churn)^12</f>
        <v>0.134866090024062</v>
      </c>
      <c r="F59" s="26" t="n">
        <f aca="false">1-(1-churn_m*f_churn*s_churn)^12</f>
        <v>0.134866090024062</v>
      </c>
    </row>
    <row r="60" customFormat="false" ht="15" hidden="false" customHeight="false" outlineLevel="0" collapsed="false">
      <c r="A60" s="4" t="s">
        <v>264</v>
      </c>
      <c r="B60" s="24" t="n">
        <f aca="false">INDEX(Mensal!$C$61:$BJ$61,1,12*B$3)</f>
        <v>7</v>
      </c>
      <c r="C60" s="24" t="n">
        <f aca="false">INDEX(Mensal!$C$61:$BJ$61,1,12*C$3)</f>
        <v>12</v>
      </c>
      <c r="D60" s="24" t="n">
        <f aca="false">INDEX(Mensal!$C$61:$BJ$61,1,12*D$3)</f>
        <v>12</v>
      </c>
      <c r="E60" s="24" t="n">
        <f aca="false">INDEX(Mensal!$C$61:$BJ$61,1,12*E$3)</f>
        <v>15</v>
      </c>
      <c r="F60" s="24" t="n">
        <f aca="false">INDEX(Mensal!$C$61:$BJ$61,1,12*F$3)</f>
        <v>20</v>
      </c>
    </row>
    <row r="61" customFormat="false" ht="15" hidden="false" customHeight="false" outlineLevel="0" collapsed="false">
      <c r="A61" s="4" t="s">
        <v>265</v>
      </c>
      <c r="B61" s="24" t="n">
        <f aca="false">INDEX(Mensal!$C$33:$BJ$33,1,12*B$3)</f>
        <v>3</v>
      </c>
      <c r="C61" s="24" t="n">
        <f aca="false">INDEX(Mensal!$C$33:$BJ$33,1,12*C$3)</f>
        <v>7</v>
      </c>
      <c r="D61" s="24" t="n">
        <f aca="false">INDEX(Mensal!$C$33:$BJ$33,1,12*D$3)</f>
        <v>13</v>
      </c>
      <c r="E61" s="24" t="n">
        <f aca="false">INDEX(Mensal!$C$33:$BJ$33,1,12*E$3)</f>
        <v>20</v>
      </c>
      <c r="F61" s="24" t="n">
        <f aca="false">INDEX(Mensal!$C$33:$BJ$33,1,12*F$3)</f>
        <v>24</v>
      </c>
    </row>
    <row r="62" customFormat="false" ht="15" hidden="false" customHeight="false" outlineLevel="0" collapsed="false">
      <c r="A62" s="5" t="s">
        <v>266</v>
      </c>
      <c r="B62" s="25" t="n">
        <f aca="false">INDEX(Mensal!$C$62:$BJ$62,1,12*B$3)</f>
        <v>10</v>
      </c>
      <c r="C62" s="25" t="n">
        <f aca="false">INDEX(Mensal!$C$62:$BJ$62,1,12*C$3)</f>
        <v>19</v>
      </c>
      <c r="D62" s="25" t="n">
        <f aca="false">INDEX(Mensal!$C$62:$BJ$62,1,12*D$3)</f>
        <v>25</v>
      </c>
      <c r="E62" s="25" t="n">
        <f aca="false">INDEX(Mensal!$C$62:$BJ$62,1,12*E$3)</f>
        <v>35</v>
      </c>
      <c r="F62" s="25" t="n">
        <f aca="false">INDEX(Mensal!$C$62:$BJ$62,1,12*F$3)</f>
        <v>44</v>
      </c>
    </row>
    <row r="63" customFormat="false" ht="15" hidden="false" customHeight="false" outlineLevel="0" collapsed="false">
      <c r="A63" s="4" t="s">
        <v>267</v>
      </c>
      <c r="B63" s="19" t="n">
        <f aca="false">-(B18+B19)</f>
        <v>251164.795263727</v>
      </c>
      <c r="C63" s="19" t="n">
        <f aca="false">-(C18+C19)</f>
        <v>571875.867193395</v>
      </c>
      <c r="D63" s="19" t="n">
        <f aca="false">-(D18+D19)</f>
        <v>1145648.30438136</v>
      </c>
      <c r="E63" s="19" t="n">
        <f aca="false">-(E18+E19)</f>
        <v>1928777.20976012</v>
      </c>
      <c r="F63" s="19" t="n">
        <f aca="false">-(F18+F19)</f>
        <v>2719228.09757552</v>
      </c>
    </row>
    <row r="64" customFormat="false" ht="15" hidden="false" customHeight="false" outlineLevel="0" collapsed="false">
      <c r="A64" s="4" t="s">
        <v>268</v>
      </c>
      <c r="B64" s="24" t="n">
        <f aca="false">SUMIFS(Mensal!$C$12:$BJ$12,Mensal!$C$6:$BJ$6,B$3)</f>
        <v>117.899605310591</v>
      </c>
      <c r="C64" s="24" t="n">
        <f aca="false">SUMIFS(Mensal!$C$12:$BJ$12,Mensal!$C$6:$BJ$6,C$3)</f>
        <v>1116.14025344406</v>
      </c>
      <c r="D64" s="24" t="n">
        <f aca="false">SUMIFS(Mensal!$C$12:$BJ$12,Mensal!$C$6:$BJ$6,D$3)</f>
        <v>3136.39866828137</v>
      </c>
      <c r="E64" s="24" t="n">
        <f aca="false">SUMIFS(Mensal!$C$12:$BJ$12,Mensal!$C$6:$BJ$6,E$3)</f>
        <v>5825.02274845159</v>
      </c>
      <c r="F64" s="24" t="n">
        <f aca="false">SUMIFS(Mensal!$C$12:$BJ$12,Mensal!$C$6:$BJ$6,F$3)</f>
        <v>8822.14044991684</v>
      </c>
    </row>
    <row r="65" customFormat="false" ht="15" hidden="false" customHeight="false" outlineLevel="0" collapsed="false">
      <c r="A65" s="4" t="s">
        <v>269</v>
      </c>
      <c r="B65" s="19" t="n">
        <f aca="false">IFERROR(B63/B64,0)</f>
        <v>2130.32770213325</v>
      </c>
      <c r="C65" s="19" t="n">
        <f aca="false">IFERROR(C63/C64,0)</f>
        <v>512.369180691014</v>
      </c>
      <c r="D65" s="19" t="n">
        <f aca="false">IFERROR(D63/D64,0)</f>
        <v>365.275089537369</v>
      </c>
      <c r="E65" s="19" t="n">
        <f aca="false">IFERROR(E63/E64,0)</f>
        <v>331.119257907246</v>
      </c>
      <c r="F65" s="19" t="n">
        <f aca="false">IFERROR(F63/F64,0)</f>
        <v>308.227704264349</v>
      </c>
    </row>
    <row r="66" customFormat="false" ht="15" hidden="false" customHeight="false" outlineLevel="0" collapsed="false">
      <c r="A66" s="4" t="s">
        <v>270</v>
      </c>
      <c r="B66" s="21" t="n">
        <f aca="false">IFERROR(B65/herd_avg,0)</f>
        <v>12.5313394243132</v>
      </c>
      <c r="C66" s="21" t="n">
        <f aca="false">IFERROR(C65/herd_avg,0)</f>
        <v>3.01393635700597</v>
      </c>
      <c r="D66" s="21" t="n">
        <f aca="false">IFERROR(D65/herd_avg,0)</f>
        <v>2.14867699727864</v>
      </c>
      <c r="E66" s="21" t="n">
        <f aca="false">IFERROR(E65/herd_avg,0)</f>
        <v>1.94776034063086</v>
      </c>
      <c r="F66" s="21" t="n">
        <f aca="false">IFERROR(F65/herd_avg,0)</f>
        <v>1.81310414273147</v>
      </c>
    </row>
    <row r="67" customFormat="false" ht="15" hidden="false" customHeight="false" outlineLevel="0" collapsed="false">
      <c r="A67" s="4" t="s">
        <v>271</v>
      </c>
      <c r="B67" s="26" t="n">
        <f aca="false">IFERROR(B63/B14,0)</f>
        <v>1.26049026402071</v>
      </c>
      <c r="C67" s="26" t="n">
        <f aca="false">IFERROR(C63/C14,0)</f>
        <v>0.294244065380399</v>
      </c>
      <c r="D67" s="26" t="n">
        <f aca="false">IFERROR(D63/D14,0)</f>
        <v>0.220941958340041</v>
      </c>
      <c r="E67" s="26" t="n">
        <f aca="false">IFERROR(E63/E14,0)</f>
        <v>0.195710736041363</v>
      </c>
      <c r="F67" s="26" t="n">
        <f aca="false">IFERROR(F63/F14,0)</f>
        <v>0.173518248967599</v>
      </c>
    </row>
    <row r="68" customFormat="false" ht="15" hidden="false" customHeight="false" outlineLevel="0" collapsed="false">
      <c r="A68" s="4" t="s">
        <v>272</v>
      </c>
      <c r="B68" s="19" t="n">
        <f aca="false">IFERROR(B5/B64,0)</f>
        <v>1252</v>
      </c>
      <c r="C68" s="19" t="n">
        <f aca="false">IFERROR(C5/C64,0)</f>
        <v>1314.6</v>
      </c>
      <c r="D68" s="19" t="n">
        <f aca="false">IFERROR(D5/D64,0)</f>
        <v>1380.33</v>
      </c>
      <c r="E68" s="19" t="n">
        <f aca="false">IFERROR(E5/E64,0)</f>
        <v>1449.3465</v>
      </c>
      <c r="F68" s="19" t="n">
        <f aca="false">IFERROR(F5/F64,0)</f>
        <v>1521.813825</v>
      </c>
    </row>
    <row r="69" customFormat="false" ht="15" hidden="false" customHeight="false" outlineLevel="0" collapsed="false">
      <c r="A69" s="4" t="s">
        <v>273</v>
      </c>
      <c r="B69" s="19" t="n">
        <f aca="false">IFERROR(-(B15+B16+B18+B19)/B64,0)</f>
        <v>2235.32770213325</v>
      </c>
      <c r="C69" s="19" t="n">
        <f aca="false">IFERROR(-(C15+C16+C18+C19)/C64,0)</f>
        <v>622.619180691014</v>
      </c>
      <c r="D69" s="19" t="n">
        <f aca="false">IFERROR(-(D15+D16+D18+D19)/D64,0)</f>
        <v>481.037589537369</v>
      </c>
      <c r="E69" s="19" t="n">
        <f aca="false">IFERROR(-(E15+E16+E18+E19)/E64,0)</f>
        <v>452.669882907246</v>
      </c>
      <c r="F69" s="19" t="n">
        <f aca="false">IFERROR(-(F15+F16+F18+F19)/F64,0)</f>
        <v>435.855860514349</v>
      </c>
    </row>
    <row r="70" customFormat="false" ht="15" hidden="false" customHeight="false" outlineLevel="0" collapsed="false">
      <c r="A70" s="4" t="s">
        <v>274</v>
      </c>
      <c r="B70" s="19" t="n">
        <f aca="false">B68-B69</f>
        <v>-983.327702133246</v>
      </c>
      <c r="C70" s="19" t="n">
        <f aca="false">C68-C69</f>
        <v>691.980819308986</v>
      </c>
      <c r="D70" s="19" t="n">
        <f aca="false">D68-D69</f>
        <v>899.292410462631</v>
      </c>
      <c r="E70" s="19" t="n">
        <f aca="false">E68-E69</f>
        <v>996.676617092754</v>
      </c>
      <c r="F70" s="19" t="n">
        <f aca="false">F68-F69</f>
        <v>1085.95796448565</v>
      </c>
    </row>
    <row r="71" customFormat="false" ht="15" hidden="false" customHeight="false" outlineLevel="0" collapsed="false">
      <c r="A71" s="4" t="s">
        <v>275</v>
      </c>
      <c r="B71" s="19" t="n">
        <f aca="false">IFERROR(-(SUMIFS(Mensal!$C$49:$BJ$49,Mensal!$C$6:$BJ$6,B$3)+B24+B25+B26)/B53,0)</f>
        <v>9553.77185185185</v>
      </c>
      <c r="C71" s="19" t="n">
        <f aca="false">IFERROR(-(SUMIFS(Mensal!$C$49:$BJ$49,Mensal!$C$6:$BJ$6,C$3)+C24+C25+C26)/C53,0)</f>
        <v>6512.016</v>
      </c>
      <c r="D71" s="19" t="n">
        <f aca="false">IFERROR(-(SUMIFS(Mensal!$C$49:$BJ$49,Mensal!$C$6:$BJ$6,D$3)+D24+D25+D26)/D53,0)</f>
        <v>6176.1168</v>
      </c>
      <c r="E71" s="19" t="n">
        <f aca="false">IFERROR(-(SUMIFS(Mensal!$C$49:$BJ$49,Mensal!$C$6:$BJ$6,E$3)+E24+E25+E26)/E53,0)</f>
        <v>6734.25725538462</v>
      </c>
      <c r="F71" s="19" t="n">
        <f aca="false">IFERROR(-(SUMIFS(Mensal!$C$49:$BJ$49,Mensal!$C$6:$BJ$6,F$3)+F24+F25+F26)/F53,0)</f>
        <v>7052.270022</v>
      </c>
    </row>
    <row r="72" customFormat="false" ht="15" hidden="false" customHeight="false" outlineLevel="0" collapsed="false">
      <c r="A72" s="4" t="s">
        <v>276</v>
      </c>
      <c r="B72" s="19" t="n">
        <f aca="false">IFERROR(B70/(churn_m*f_churn*s_churn),0)</f>
        <v>-81943.9751777705</v>
      </c>
      <c r="C72" s="19" t="n">
        <f aca="false">IFERROR(C70/(churn_m*f_churn*s_churn),0)</f>
        <v>57665.0682757488</v>
      </c>
      <c r="D72" s="19" t="n">
        <f aca="false">IFERROR(D70/(churn_m*f_churn*s_churn),0)</f>
        <v>74941.0342052192</v>
      </c>
      <c r="E72" s="19" t="n">
        <f aca="false">IFERROR(E70/(churn_m*f_churn*s_churn),0)</f>
        <v>83056.3847577295</v>
      </c>
      <c r="F72" s="19" t="n">
        <f aca="false">IFERROR(F70/(churn_m*f_churn*s_churn),0)</f>
        <v>90496.4970404709</v>
      </c>
    </row>
    <row r="73" customFormat="false" ht="15" hidden="false" customHeight="false" outlineLevel="0" collapsed="false">
      <c r="A73" s="4" t="s">
        <v>277</v>
      </c>
      <c r="B73" s="27" t="n">
        <f aca="false">IFERROR(B72/B71,0)</f>
        <v>-8.57713335093792</v>
      </c>
      <c r="C73" s="27" t="n">
        <f aca="false">IFERROR(C72/C71,0)</f>
        <v>8.85517914509866</v>
      </c>
      <c r="D73" s="27" t="n">
        <f aca="false">IFERROR(D72/D71,0)</f>
        <v>12.1340053357183</v>
      </c>
      <c r="E73" s="27" t="n">
        <f aca="false">IFERROR(E72/E71,0)</f>
        <v>12.333414303607</v>
      </c>
      <c r="F73" s="27" t="n">
        <f aca="false">IFERROR(F72/F71,0)</f>
        <v>12.8322507161753</v>
      </c>
    </row>
    <row r="74" customFormat="false" ht="15" hidden="false" customHeight="false" outlineLevel="0" collapsed="false">
      <c r="A74" s="4" t="s">
        <v>278</v>
      </c>
      <c r="B74" s="28" t="n">
        <f aca="false">IFERROR(B71/B70,0)</f>
        <v>-9.71575582700026</v>
      </c>
      <c r="C74" s="28" t="n">
        <f aca="false">IFERROR(C71/C70,0)</f>
        <v>9.41068858888736</v>
      </c>
      <c r="D74" s="28" t="n">
        <f aca="false">IFERROR(D71/D70,0)</f>
        <v>6.86775149900661</v>
      </c>
      <c r="E74" s="28" t="n">
        <f aca="false">IFERROR(E71/E70,0)</f>
        <v>6.7567123978769</v>
      </c>
      <c r="F74" s="28" t="n">
        <f aca="false">IFERROR(F71/F70,0)</f>
        <v>6.49405433049171</v>
      </c>
    </row>
    <row r="75" customFormat="false" ht="15" hidden="false" customHeight="false" outlineLevel="0" collapsed="false">
      <c r="A75" s="4" t="s">
        <v>279</v>
      </c>
      <c r="B75" s="19" t="n">
        <f aca="false">IFERROR(B53/conv2,0)</f>
        <v>108</v>
      </c>
      <c r="C75" s="19" t="n">
        <f aca="false">IFERROR(C53/conv2,0)</f>
        <v>576</v>
      </c>
      <c r="D75" s="19" t="n">
        <f aca="false">IFERROR(D53/conv2,0)</f>
        <v>960</v>
      </c>
      <c r="E75" s="19" t="n">
        <f aca="false">IFERROR(E53/conv2,0)</f>
        <v>1248</v>
      </c>
      <c r="F75" s="19" t="n">
        <f aca="false">IFERROR(F53/conv2,0)</f>
        <v>1440</v>
      </c>
    </row>
    <row r="76" customFormat="false" ht="15" hidden="false" customHeight="false" outlineLevel="0" collapsed="false">
      <c r="A76" s="4" t="s">
        <v>280</v>
      </c>
      <c r="B76" s="19" t="n">
        <f aca="false">IFERROR(B75/conv1,0)</f>
        <v>360</v>
      </c>
      <c r="C76" s="19" t="n">
        <f aca="false">IFERROR(C75/conv1,0)</f>
        <v>1920</v>
      </c>
      <c r="D76" s="19" t="n">
        <f aca="false">IFERROR(D75/conv1,0)</f>
        <v>3200</v>
      </c>
      <c r="E76" s="19" t="n">
        <f aca="false">IFERROR(E75/conv1,0)</f>
        <v>4160</v>
      </c>
      <c r="F76" s="19" t="n">
        <f aca="false">IFERROR(F75/conv1,0)</f>
        <v>4800</v>
      </c>
    </row>
    <row r="77" customFormat="false" ht="15" hidden="false" customHeight="false" outlineLevel="0" collapsed="false">
      <c r="A77" s="4" t="s">
        <v>281</v>
      </c>
      <c r="B77" s="19" t="n">
        <f aca="false">IFERROR(B14/(B64*herd_avg/12),0)</f>
        <v>119.299670440999</v>
      </c>
      <c r="C77" s="19" t="n">
        <f aca="false">IFERROR(C14/(C64*herd_avg/12),0)</f>
        <v>122.915771427079</v>
      </c>
      <c r="D77" s="19" t="n">
        <f aca="false">IFERROR(D14/(D64*herd_avg/12),0)</f>
        <v>116.700893578849</v>
      </c>
      <c r="E77" s="19" t="n">
        <f aca="false">IFERROR(E14/(E64*herd_avg/12),0)</f>
        <v>119.426887662568</v>
      </c>
      <c r="F77" s="19" t="n">
        <f aca="false">IFERROR(F14/(F64*herd_avg/12),0)</f>
        <v>125.388827067061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18"/>
  </cols>
  <sheetData>
    <row r="1" customFormat="false" ht="17.35" hidden="false" customHeight="false" outlineLevel="0" collapsed="false">
      <c r="A1" s="1" t="s">
        <v>282</v>
      </c>
    </row>
    <row r="3" customFormat="false" ht="15" hidden="false" customHeight="false" outlineLevel="0" collapsed="false">
      <c r="A3" s="6" t="s">
        <v>283</v>
      </c>
      <c r="B3" s="6" t="s">
        <v>23</v>
      </c>
      <c r="C3" s="6" t="s">
        <v>284</v>
      </c>
    </row>
    <row r="4" customFormat="false" ht="15" hidden="false" customHeight="false" outlineLevel="0" collapsed="false">
      <c r="A4" s="4" t="s">
        <v>285</v>
      </c>
      <c r="B4" s="19" t="n">
        <f aca="false">-MIN(Mensal!$C$68:$BJ$68)</f>
        <v>4044057.4272444</v>
      </c>
      <c r="C4" s="4" t="s">
        <v>286</v>
      </c>
    </row>
    <row r="5" customFormat="false" ht="15" hidden="false" customHeight="false" outlineLevel="0" collapsed="false">
      <c r="A5" s="4" t="s">
        <v>287</v>
      </c>
      <c r="B5" s="19" t="n">
        <f aca="false">ask</f>
        <v>4700000</v>
      </c>
      <c r="C5" s="4" t="s">
        <v>288</v>
      </c>
    </row>
    <row r="6" customFormat="false" ht="15" hidden="false" customHeight="false" outlineLevel="0" collapsed="false">
      <c r="A6" s="4" t="s">
        <v>289</v>
      </c>
      <c r="B6" s="26" t="n">
        <f aca="false">IFERROR(ask/B4-1,0)</f>
        <v>0.162199124160944</v>
      </c>
      <c r="C6" s="4" t="s">
        <v>290</v>
      </c>
    </row>
    <row r="7" customFormat="false" ht="15" hidden="false" customHeight="false" outlineLevel="0" collapsed="false">
      <c r="A7" s="4" t="s">
        <v>291</v>
      </c>
      <c r="B7" s="19" t="n">
        <f aca="false">MIN(Mensal!$C$70:$BJ$70)</f>
        <v>489402.219802259</v>
      </c>
      <c r="C7" s="4" t="s">
        <v>292</v>
      </c>
    </row>
    <row r="8" customFormat="false" ht="15" hidden="false" customHeight="false" outlineLevel="0" collapsed="false">
      <c r="A8" s="4" t="s">
        <v>293</v>
      </c>
      <c r="B8" s="19" t="n">
        <f aca="false">MATCH(MIN(Mensal!$C$68:$BJ$68),Mensal!$C$68:$BJ$68,0)</f>
        <v>31</v>
      </c>
      <c r="C8" s="4"/>
    </row>
    <row r="9" customFormat="false" ht="15" hidden="false" customHeight="false" outlineLevel="0" collapsed="false">
      <c r="A9" s="4" t="s">
        <v>294</v>
      </c>
      <c r="B9" s="19" t="n">
        <f aca="false">IFERROR(MATCH(1,Mensal!$C$71:$BJ$71,0),"&gt; 60")</f>
        <v>32</v>
      </c>
      <c r="C9" s="4" t="s">
        <v>295</v>
      </c>
    </row>
    <row r="10" customFormat="false" ht="15" hidden="false" customHeight="false" outlineLevel="0" collapsed="false">
      <c r="A10" s="4" t="s">
        <v>296</v>
      </c>
      <c r="B10" s="19" t="n">
        <f aca="false">IFERROR(MATCH(1,Mensal!$C$72:$BJ$72,0),"&gt; 60")</f>
        <v>54</v>
      </c>
      <c r="C10" s="4" t="s">
        <v>297</v>
      </c>
    </row>
    <row r="12" customFormat="false" ht="15" hidden="false" customHeight="false" outlineLevel="0" collapsed="false">
      <c r="A12" s="6" t="s">
        <v>298</v>
      </c>
      <c r="B12" s="6" t="s">
        <v>143</v>
      </c>
      <c r="C12" s="6" t="s">
        <v>144</v>
      </c>
      <c r="D12" s="6" t="s">
        <v>145</v>
      </c>
      <c r="E12" s="6" t="s">
        <v>146</v>
      </c>
      <c r="F12" s="6" t="s">
        <v>147</v>
      </c>
    </row>
    <row r="13" customFormat="false" ht="15" hidden="false" customHeight="false" outlineLevel="0" collapsed="false">
      <c r="A13" s="4" t="s">
        <v>299</v>
      </c>
      <c r="B13" s="24" t="n">
        <f aca="false">Anual!B36</f>
        <v>-1736235.36672886</v>
      </c>
      <c r="C13" s="24" t="n">
        <f aca="false">Anual!C36</f>
        <v>-1853954.11296509</v>
      </c>
      <c r="D13" s="24" t="n">
        <f aca="false">Anual!D36</f>
        <v>-236040.560457087</v>
      </c>
      <c r="E13" s="24" t="n">
        <f aca="false">Anual!E36</f>
        <v>2049850.89940031</v>
      </c>
      <c r="F13" s="24" t="n">
        <f aca="false">Anual!F36</f>
        <v>4975943.57365925</v>
      </c>
    </row>
    <row r="14" customFormat="false" ht="15" hidden="false" customHeight="false" outlineLevel="0" collapsed="false">
      <c r="A14" s="4" t="s">
        <v>300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f aca="false">tv_mult*Anual!F14</f>
        <v>23506704.1687639</v>
      </c>
    </row>
    <row r="15" customFormat="false" ht="15" hidden="false" customHeight="false" outlineLevel="0" collapsed="false">
      <c r="A15" s="5" t="s">
        <v>301</v>
      </c>
      <c r="B15" s="25" t="n">
        <f aca="false">B13+B14</f>
        <v>-1736235.36672886</v>
      </c>
      <c r="C15" s="25" t="n">
        <f aca="false">C13+C14</f>
        <v>-1853954.11296509</v>
      </c>
      <c r="D15" s="25" t="n">
        <f aca="false">D13+D14</f>
        <v>-236040.560457087</v>
      </c>
      <c r="E15" s="25" t="n">
        <f aca="false">E13+E14</f>
        <v>2049850.89940031</v>
      </c>
      <c r="F15" s="25" t="n">
        <f aca="false">F13+F14</f>
        <v>28482647.7424232</v>
      </c>
    </row>
    <row r="17" customFormat="false" ht="15" hidden="false" customHeight="false" outlineLevel="0" collapsed="false">
      <c r="A17" s="4" t="s">
        <v>302</v>
      </c>
      <c r="B17" s="25" t="n">
        <f aca="false">NPV(disc,B13:F13)</f>
        <v>-226235.57402374</v>
      </c>
      <c r="C17" s="4" t="s">
        <v>303</v>
      </c>
    </row>
    <row r="18" customFormat="false" ht="15" hidden="false" customHeight="false" outlineLevel="0" collapsed="false">
      <c r="A18" s="4" t="s">
        <v>304</v>
      </c>
      <c r="B18" s="25" t="n">
        <f aca="false">NPV(disc,B15:F15)</f>
        <v>7476441.24799682</v>
      </c>
      <c r="C18" s="4"/>
    </row>
    <row r="19" customFormat="false" ht="15" hidden="false" customHeight="false" outlineLevel="0" collapsed="false">
      <c r="A19" s="4" t="s">
        <v>305</v>
      </c>
      <c r="B19" s="29" t="n">
        <f aca="false">IFERROR(IRR(B13:F13),"n/d")</f>
        <v>0.215474576238599</v>
      </c>
      <c r="C19" s="4" t="s">
        <v>306</v>
      </c>
    </row>
    <row r="20" customFormat="false" ht="15" hidden="false" customHeight="false" outlineLevel="0" collapsed="false">
      <c r="A20" s="4" t="s">
        <v>307</v>
      </c>
      <c r="B20" s="29" t="n">
        <f aca="false">IFERROR(IRR(B15:F15),"n/d")</f>
        <v>0.840078652617645</v>
      </c>
      <c r="C20" s="4"/>
    </row>
    <row r="22" customFormat="false" ht="23.85" hidden="false" customHeight="false" outlineLevel="0" collapsed="false">
      <c r="A22" s="6" t="s">
        <v>308</v>
      </c>
      <c r="B22" s="6" t="s">
        <v>309</v>
      </c>
      <c r="C22" s="6" t="s">
        <v>310</v>
      </c>
      <c r="D22" s="6" t="s">
        <v>311</v>
      </c>
      <c r="E22" s="6" t="s">
        <v>312</v>
      </c>
      <c r="F22" s="6" t="s">
        <v>313</v>
      </c>
    </row>
    <row r="23" customFormat="false" ht="15" hidden="false" customHeight="false" outlineLevel="0" collapsed="false">
      <c r="A23" s="4" t="s">
        <v>314</v>
      </c>
      <c r="B23" s="30" t="n">
        <v>1</v>
      </c>
      <c r="C23" s="30" t="n">
        <v>6</v>
      </c>
      <c r="D23" s="31" t="n">
        <f aca="false">SUMIFS(Mensal!$C$67:$BJ$67,Mensal!$C$5:$BJ$5,"&gt;="&amp;B23,Mensal!$C$5:$BJ$5,"&lt;="&amp;C23)</f>
        <v>-829857.17903328</v>
      </c>
      <c r="E23" s="31" t="n">
        <f aca="false">INDEX(Mensal!$C$11:$BJ$11,1,C23)</f>
        <v>8.892432</v>
      </c>
      <c r="F23" s="31" t="n">
        <f aca="false">INDEX(Mensal!$C$27:$BJ$27,1,C23)*12</f>
        <v>111601.517184</v>
      </c>
    </row>
    <row r="24" customFormat="false" ht="15" hidden="false" customHeight="false" outlineLevel="0" collapsed="false">
      <c r="A24" s="4" t="s">
        <v>315</v>
      </c>
      <c r="B24" s="30" t="n">
        <v>7</v>
      </c>
      <c r="C24" s="30" t="n">
        <v>18</v>
      </c>
      <c r="D24" s="31" t="n">
        <f aca="false">SUMIFS(Mensal!$C$67:$BJ$67,Mensal!$C$5:$BJ$5,"&gt;="&amp;B24,Mensal!$C$5:$BJ$5,"&lt;="&amp;C24)</f>
        <v>-2001898.95867412</v>
      </c>
      <c r="E24" s="31" t="n">
        <f aca="false">INDEX(Mensal!$C$11:$BJ$11,1,C24)</f>
        <v>93.8153548088751</v>
      </c>
      <c r="F24" s="31" t="n">
        <f aca="false">INDEX(Mensal!$C$27:$BJ$27,1,C24)*12</f>
        <v>1611357.61961931</v>
      </c>
    </row>
    <row r="25" customFormat="false" ht="15" hidden="false" customHeight="false" outlineLevel="0" collapsed="false">
      <c r="A25" s="4" t="s">
        <v>316</v>
      </c>
      <c r="B25" s="30" t="n">
        <v>19</v>
      </c>
      <c r="C25" s="30" t="n">
        <v>36</v>
      </c>
      <c r="D25" s="31" t="n">
        <f aca="false">SUMIFS(Mensal!$C$67:$BJ$67,Mensal!$C$5:$BJ$5,"&gt;="&amp;B25,Mensal!$C$5:$BJ$5,"&lt;="&amp;C25)</f>
        <v>-994473.90244363</v>
      </c>
      <c r="E25" s="31" t="n">
        <f aca="false">INDEX(Mensal!$C$11:$BJ$11,1,C25)</f>
        <v>360.719051987493</v>
      </c>
      <c r="F25" s="31" t="n">
        <f aca="false">INDEX(Mensal!$C$27:$BJ$27,1,C25)*12</f>
        <v>6923404.63598911</v>
      </c>
    </row>
    <row r="26" customFormat="false" ht="15" hidden="false" customHeight="false" outlineLevel="0" collapsed="false">
      <c r="A26" s="4" t="s">
        <v>317</v>
      </c>
      <c r="B26" s="30" t="n">
        <v>37</v>
      </c>
      <c r="C26" s="30" t="n">
        <v>60</v>
      </c>
      <c r="D26" s="31" t="n">
        <f aca="false">SUMIFS(Mensal!$C$67:$BJ$67,Mensal!$C$5:$BJ$5,"&gt;="&amp;B26,Mensal!$C$5:$BJ$5,"&lt;="&amp;C26)</f>
        <v>7025794.47305956</v>
      </c>
      <c r="E26" s="31" t="n">
        <f aca="false">INDEX(Mensal!$C$11:$BJ$11,1,C26)</f>
        <v>859.948470115842</v>
      </c>
      <c r="F26" s="31" t="n">
        <f aca="false">INDEX(Mensal!$C$27:$BJ$27,1,C26)*12</f>
        <v>19456170.7117084</v>
      </c>
    </row>
    <row r="27" customFormat="false" ht="15" hidden="false" customHeight="false" outlineLevel="0" collapsed="false">
      <c r="A27" s="5" t="s">
        <v>318</v>
      </c>
      <c r="D27" s="25" t="n">
        <f aca="false">SUM(D23:D26)</f>
        <v>3199564.43290853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28"/>
    <col collapsed="false" customWidth="true" hidden="false" outlineLevel="0" max="7" min="5" style="0" width="18"/>
  </cols>
  <sheetData>
    <row r="1" customFormat="false" ht="17.35" hidden="false" customHeight="false" outlineLevel="0" collapsed="false">
      <c r="A1" s="1" t="s">
        <v>319</v>
      </c>
    </row>
    <row r="2" customFormat="false" ht="15" hidden="false" customHeight="false" outlineLevel="0" collapsed="false">
      <c r="A2" s="4" t="s">
        <v>320</v>
      </c>
    </row>
    <row r="4" customFormat="false" ht="15" hidden="false" customHeight="false" outlineLevel="0" collapsed="false">
      <c r="A4" s="6" t="s">
        <v>321</v>
      </c>
      <c r="B4" s="6" t="s">
        <v>322</v>
      </c>
      <c r="C4" s="6" t="s">
        <v>323</v>
      </c>
      <c r="D4" s="6" t="s">
        <v>324</v>
      </c>
      <c r="E4" s="6" t="s">
        <v>325</v>
      </c>
      <c r="F4" s="6" t="s">
        <v>326</v>
      </c>
      <c r="G4" s="6" t="s">
        <v>327</v>
      </c>
    </row>
    <row r="5" customFormat="false" ht="15" hidden="false" customHeight="false" outlineLevel="0" collapsed="false">
      <c r="A5" s="4" t="s">
        <v>328</v>
      </c>
      <c r="B5" s="17" t="n">
        <v>25</v>
      </c>
      <c r="C5" s="17" t="n">
        <v>50</v>
      </c>
      <c r="D5" s="17" t="n">
        <v>100</v>
      </c>
      <c r="E5" s="17" t="n">
        <v>200</v>
      </c>
      <c r="F5" s="17" t="n">
        <v>400</v>
      </c>
      <c r="G5" s="17" t="n">
        <v>800</v>
      </c>
    </row>
    <row r="6" customFormat="false" ht="15" hidden="false" customHeight="false" outlineLevel="0" collapsed="false">
      <c r="A6" s="4" t="s">
        <v>329</v>
      </c>
      <c r="B6" s="19" t="n">
        <f aca="false">B5*herd_avg</f>
        <v>4250</v>
      </c>
      <c r="C6" s="19" t="n">
        <f aca="false">C5*herd_avg</f>
        <v>8500</v>
      </c>
      <c r="D6" s="19" t="n">
        <f aca="false">D5*herd_avg</f>
        <v>17000</v>
      </c>
      <c r="E6" s="19" t="n">
        <f aca="false">E5*herd_avg</f>
        <v>34000</v>
      </c>
      <c r="F6" s="19" t="n">
        <f aca="false">F5*herd_avg</f>
        <v>68000</v>
      </c>
      <c r="G6" s="19" t="n">
        <f aca="false">G5*herd_avg</f>
        <v>136000</v>
      </c>
    </row>
    <row r="7" customFormat="false" ht="15" hidden="false" customHeight="false" outlineLevel="0" collapsed="false">
      <c r="A7" s="4" t="s">
        <v>330</v>
      </c>
      <c r="B7" s="20" t="n">
        <f aca="false">B5*0.05</f>
        <v>1.25</v>
      </c>
      <c r="C7" s="20" t="n">
        <f aca="false">C5*0.05</f>
        <v>2.5</v>
      </c>
      <c r="D7" s="20" t="n">
        <f aca="false">D5*0.05</f>
        <v>5</v>
      </c>
      <c r="E7" s="20" t="n">
        <f aca="false">E5*0.05</f>
        <v>10</v>
      </c>
      <c r="F7" s="20" t="n">
        <f aca="false">F5*0.05</f>
        <v>20</v>
      </c>
      <c r="G7" s="20" t="n">
        <f aca="false">G5*0.05</f>
        <v>40</v>
      </c>
    </row>
    <row r="8" customFormat="false" ht="15" hidden="false" customHeight="false" outlineLevel="0" collapsed="false">
      <c r="A8" s="4" t="s">
        <v>331</v>
      </c>
      <c r="B8" s="19" t="n">
        <f aca="false">IF(B5&lt;n1_from,0,ROUNDUP(B5/r_n1,0))</f>
        <v>0</v>
      </c>
      <c r="C8" s="19" t="n">
        <f aca="false">IF(C5&lt;n1_from,0,ROUNDUP(C5/r_n1,0))</f>
        <v>1</v>
      </c>
      <c r="D8" s="19" t="n">
        <f aca="false">IF(D5&lt;n1_from,0,ROUNDUP(D5/r_n1,0))</f>
        <v>1</v>
      </c>
      <c r="E8" s="19" t="n">
        <f aca="false">IF(E5&lt;n1_from,0,ROUNDUP(E5/r_n1,0))</f>
        <v>2</v>
      </c>
      <c r="F8" s="19" t="n">
        <f aca="false">IF(F5&lt;n1_from,0,ROUNDUP(F5/r_n1,0))</f>
        <v>3</v>
      </c>
      <c r="G8" s="19" t="n">
        <f aca="false">IF(G5&lt;n1_from,0,ROUNDUP(G5/r_n1,0))</f>
        <v>6</v>
      </c>
    </row>
    <row r="9" customFormat="false" ht="15" hidden="false" customHeight="false" outlineLevel="0" collapsed="false">
      <c r="A9" s="4" t="s">
        <v>332</v>
      </c>
      <c r="B9" s="19" t="n">
        <f aca="false">MAX(1,ROUNDUP(B5/r_cs,0))</f>
        <v>1</v>
      </c>
      <c r="C9" s="19" t="n">
        <f aca="false">MAX(1,ROUNDUP(C5/r_cs,0))</f>
        <v>1</v>
      </c>
      <c r="D9" s="19" t="n">
        <f aca="false">MAX(1,ROUNDUP(D5/r_cs,0))</f>
        <v>1</v>
      </c>
      <c r="E9" s="19" t="n">
        <f aca="false">MAX(1,ROUNDUP(E5/r_cs,0))</f>
        <v>2</v>
      </c>
      <c r="F9" s="19" t="n">
        <f aca="false">MAX(1,ROUNDUP(F5/r_cs,0))</f>
        <v>4</v>
      </c>
      <c r="G9" s="19" t="n">
        <f aca="false">MAX(1,ROUNDUP(G5/r_cs,0))</f>
        <v>8</v>
      </c>
    </row>
    <row r="10" customFormat="false" ht="15" hidden="false" customHeight="false" outlineLevel="0" collapsed="false">
      <c r="A10" s="4" t="s">
        <v>333</v>
      </c>
      <c r="B10" s="19" t="n">
        <f aca="false">ROUNDUP(B6/r_n2,0)</f>
        <v>1</v>
      </c>
      <c r="C10" s="19" t="n">
        <f aca="false">ROUNDUP(C6/r_n2,0)</f>
        <v>1</v>
      </c>
      <c r="D10" s="19" t="n">
        <f aca="false">ROUNDUP(D6/r_n2,0)</f>
        <v>1</v>
      </c>
      <c r="E10" s="19" t="n">
        <f aca="false">ROUNDUP(E6/r_n2,0)</f>
        <v>2</v>
      </c>
      <c r="F10" s="19" t="n">
        <f aca="false">ROUNDUP(F6/r_n2,0)</f>
        <v>3</v>
      </c>
      <c r="G10" s="19" t="n">
        <f aca="false">ROUNDUP(G6/r_n2,0)</f>
        <v>5</v>
      </c>
    </row>
    <row r="11" customFormat="false" ht="15" hidden="false" customHeight="false" outlineLevel="0" collapsed="false">
      <c r="A11" s="4" t="s">
        <v>334</v>
      </c>
      <c r="B11" s="19" t="n">
        <f aca="false">ROUNDUP(B7/r_onb,0)</f>
        <v>1</v>
      </c>
      <c r="C11" s="19" t="n">
        <f aca="false">ROUNDUP(C7/r_onb,0)</f>
        <v>1</v>
      </c>
      <c r="D11" s="19" t="n">
        <f aca="false">ROUNDUP(D7/r_onb,0)</f>
        <v>1</v>
      </c>
      <c r="E11" s="19" t="n">
        <f aca="false">ROUNDUP(E7/r_onb,0)</f>
        <v>2</v>
      </c>
      <c r="F11" s="19" t="n">
        <f aca="false">ROUNDUP(F7/r_onb,0)</f>
        <v>3</v>
      </c>
      <c r="G11" s="19" t="n">
        <f aca="false">ROUNDUP(G7/r_onb,0)</f>
        <v>5</v>
      </c>
    </row>
    <row r="12" customFormat="false" ht="15" hidden="false" customHeight="false" outlineLevel="0" collapsed="false">
      <c r="A12" s="5" t="s">
        <v>335</v>
      </c>
      <c r="B12" s="19" t="n">
        <f aca="false">SUM(B8:B11)</f>
        <v>3</v>
      </c>
      <c r="C12" s="19" t="n">
        <f aca="false">SUM(C8:C11)</f>
        <v>4</v>
      </c>
      <c r="D12" s="19" t="n">
        <f aca="false">SUM(D8:D11)</f>
        <v>4</v>
      </c>
      <c r="E12" s="19" t="n">
        <f aca="false">SUM(E8:E11)</f>
        <v>8</v>
      </c>
      <c r="F12" s="19" t="n">
        <f aca="false">SUM(F8:F11)</f>
        <v>13</v>
      </c>
      <c r="G12" s="19" t="n">
        <f aca="false">SUM(G8:G11)</f>
        <v>24</v>
      </c>
    </row>
    <row r="13" customFormat="false" ht="15" hidden="false" customHeight="false" outlineLevel="0" collapsed="false">
      <c r="A13" s="4" t="s">
        <v>336</v>
      </c>
      <c r="B13" s="19" t="n">
        <f aca="false">B8*c_n1+B9*c_cs+B10*c_n2+B11*c_onb</f>
        <v>27000</v>
      </c>
      <c r="C13" s="19" t="n">
        <f aca="false">C8*c_n1+C9*c_cs+C10*c_n2+C11*c_onb</f>
        <v>31500</v>
      </c>
      <c r="D13" s="19" t="n">
        <f aca="false">D8*c_n1+D9*c_cs+D10*c_n2+D11*c_onb</f>
        <v>31500</v>
      </c>
      <c r="E13" s="19" t="n">
        <f aca="false">E8*c_n1+E9*c_cs+E10*c_n2+E11*c_onb</f>
        <v>63000</v>
      </c>
      <c r="F13" s="19" t="n">
        <f aca="false">F8*c_n1+F9*c_cs+F10*c_n2+F11*c_onb</f>
        <v>102500</v>
      </c>
      <c r="G13" s="19" t="n">
        <f aca="false">G8*c_n1+G9*c_cs+G10*c_n2+G11*c_onb</f>
        <v>186000</v>
      </c>
    </row>
    <row r="14" customFormat="false" ht="15" hidden="false" customHeight="false" outlineLevel="0" collapsed="false">
      <c r="A14" s="4" t="s">
        <v>337</v>
      </c>
      <c r="B14" s="19" t="n">
        <f aca="false">B12*tool_seat+B5*tool_farm</f>
        <v>1050</v>
      </c>
      <c r="C14" s="19" t="n">
        <f aca="false">C12*tool_seat+C5*tool_farm</f>
        <v>1600</v>
      </c>
      <c r="D14" s="19" t="n">
        <f aca="false">D12*tool_seat+D5*tool_farm</f>
        <v>2200</v>
      </c>
      <c r="E14" s="19" t="n">
        <f aca="false">E12*tool_seat+E5*tool_farm</f>
        <v>4400</v>
      </c>
      <c r="F14" s="19" t="n">
        <f aca="false">F12*tool_seat+F5*tool_farm</f>
        <v>8050</v>
      </c>
      <c r="G14" s="19" t="n">
        <f aca="false">G12*tool_seat+G5*tool_farm</f>
        <v>15600</v>
      </c>
    </row>
    <row r="15" customFormat="false" ht="15" hidden="false" customHeight="false" outlineLevel="0" collapsed="false">
      <c r="A15" s="4" t="s">
        <v>338</v>
      </c>
      <c r="B15" s="19" t="n">
        <f aca="false">B5*(infra_var+msg)</f>
        <v>2625</v>
      </c>
      <c r="C15" s="19" t="n">
        <f aca="false">C5*(infra_var+msg)</f>
        <v>5250</v>
      </c>
      <c r="D15" s="19" t="n">
        <f aca="false">D5*(infra_var+msg)</f>
        <v>10500</v>
      </c>
      <c r="E15" s="19" t="n">
        <f aca="false">E5*(infra_var+msg)</f>
        <v>21000</v>
      </c>
      <c r="F15" s="19" t="n">
        <f aca="false">F5*(infra_var+msg)</f>
        <v>42000</v>
      </c>
      <c r="G15" s="19" t="n">
        <f aca="false">G5*(infra_var+msg)</f>
        <v>84000</v>
      </c>
    </row>
    <row r="16" customFormat="false" ht="15" hidden="false" customHeight="false" outlineLevel="0" collapsed="false">
      <c r="A16" s="5" t="s">
        <v>339</v>
      </c>
      <c r="B16" s="19" t="n">
        <f aca="false">B13+B14+B15</f>
        <v>30675</v>
      </c>
      <c r="C16" s="19" t="n">
        <f aca="false">C13+C14+C15</f>
        <v>38350</v>
      </c>
      <c r="D16" s="19" t="n">
        <f aca="false">D13+D14+D15</f>
        <v>44200</v>
      </c>
      <c r="E16" s="19" t="n">
        <f aca="false">E13+E14+E15</f>
        <v>88400</v>
      </c>
      <c r="F16" s="19" t="n">
        <f aca="false">F13+F14+F15</f>
        <v>152550</v>
      </c>
      <c r="G16" s="19" t="n">
        <f aca="false">G13+G14+G15</f>
        <v>285600</v>
      </c>
    </row>
    <row r="17" customFormat="false" ht="15" hidden="false" customHeight="false" outlineLevel="0" collapsed="false">
      <c r="A17" s="5" t="s">
        <v>340</v>
      </c>
      <c r="B17" s="19" t="n">
        <f aca="false">B16/B5</f>
        <v>1227</v>
      </c>
      <c r="C17" s="19" t="n">
        <f aca="false">C16/C5</f>
        <v>767</v>
      </c>
      <c r="D17" s="19" t="n">
        <f aca="false">D16/D5</f>
        <v>442</v>
      </c>
      <c r="E17" s="19" t="n">
        <f aca="false">E16/E5</f>
        <v>442</v>
      </c>
      <c r="F17" s="19" t="n">
        <f aca="false">F16/F5</f>
        <v>381.375</v>
      </c>
      <c r="G17" s="19" t="n">
        <f aca="false">G16/G5</f>
        <v>357</v>
      </c>
    </row>
    <row r="18" customFormat="false" ht="15" hidden="false" customHeight="false" outlineLevel="0" collapsed="false">
      <c r="A18" s="4" t="s">
        <v>341</v>
      </c>
      <c r="B18" s="21" t="n">
        <f aca="false">B16/B6</f>
        <v>7.21764705882353</v>
      </c>
      <c r="C18" s="21" t="n">
        <f aca="false">C16/C6</f>
        <v>4.51176470588235</v>
      </c>
      <c r="D18" s="21" t="n">
        <f aca="false">D16/D6</f>
        <v>2.6</v>
      </c>
      <c r="E18" s="21" t="n">
        <f aca="false">E16/E6</f>
        <v>2.6</v>
      </c>
      <c r="F18" s="21" t="n">
        <f aca="false">F16/F6</f>
        <v>2.24338235294118</v>
      </c>
      <c r="G18" s="21" t="n">
        <f aca="false">G16/G6</f>
        <v>2.1</v>
      </c>
    </row>
    <row r="19" customFormat="false" ht="15" hidden="false" customHeight="false" outlineLevel="0" collapsed="false">
      <c r="A19" s="4" t="s">
        <v>342</v>
      </c>
      <c r="B19" s="19" t="n">
        <f aca="false">arpa_base</f>
        <v>1252</v>
      </c>
      <c r="C19" s="19" t="n">
        <f aca="false">arpa_base</f>
        <v>1252</v>
      </c>
      <c r="D19" s="19" t="n">
        <f aca="false">arpa_base</f>
        <v>1252</v>
      </c>
      <c r="E19" s="19" t="n">
        <f aca="false">arpa_base</f>
        <v>1252</v>
      </c>
      <c r="F19" s="19" t="n">
        <f aca="false">arpa_base</f>
        <v>1252</v>
      </c>
      <c r="G19" s="19" t="n">
        <f aca="false">arpa_base</f>
        <v>1252</v>
      </c>
    </row>
    <row r="20" customFormat="false" ht="15" hidden="false" customHeight="false" outlineLevel="0" collapsed="false">
      <c r="A20" s="4" t="s">
        <v>343</v>
      </c>
      <c r="B20" s="26" t="n">
        <f aca="false">B17/B19</f>
        <v>0.980031948881789</v>
      </c>
      <c r="C20" s="26" t="n">
        <f aca="false">C17/C19</f>
        <v>0.612619808306709</v>
      </c>
      <c r="D20" s="26" t="n">
        <f aca="false">D17/D19</f>
        <v>0.353035143769968</v>
      </c>
      <c r="E20" s="26" t="n">
        <f aca="false">E17/E19</f>
        <v>0.353035143769968</v>
      </c>
      <c r="F20" s="26" t="n">
        <f aca="false">F17/F19</f>
        <v>0.304612619808307</v>
      </c>
      <c r="G20" s="26" t="n">
        <f aca="false">G17/G19</f>
        <v>0.285143769968051</v>
      </c>
    </row>
    <row r="21" customFormat="false" ht="15" hidden="false" customHeight="false" outlineLevel="0" collapsed="false">
      <c r="A21" s="4" t="s">
        <v>344</v>
      </c>
      <c r="B21" s="20" t="n">
        <f aca="false">B5/B12</f>
        <v>8.33333333333333</v>
      </c>
      <c r="C21" s="20" t="n">
        <f aca="false">C5/C12</f>
        <v>12.5</v>
      </c>
      <c r="D21" s="20" t="n">
        <f aca="false">D5/D12</f>
        <v>25</v>
      </c>
      <c r="E21" s="20" t="n">
        <f aca="false">E5/E12</f>
        <v>25</v>
      </c>
      <c r="F21" s="20" t="n">
        <f aca="false">F5/F12</f>
        <v>30.7692307692308</v>
      </c>
      <c r="G21" s="20" t="n">
        <f aca="false">G5/G12</f>
        <v>33.3333333333333</v>
      </c>
    </row>
    <row r="23" customFormat="false" ht="15" hidden="false" customHeight="false" outlineLevel="0" collapsed="false">
      <c r="A23" s="4" t="s">
        <v>345</v>
      </c>
    </row>
    <row r="25" customFormat="false" ht="15" hidden="false" customHeight="false" outlineLevel="0" collapsed="false">
      <c r="A25" s="5" t="s">
        <v>346</v>
      </c>
    </row>
    <row r="26" customFormat="false" ht="15" hidden="false" customHeight="false" outlineLevel="0" collapsed="false">
      <c r="A26" s="6" t="s">
        <v>347</v>
      </c>
      <c r="B26" s="6" t="s">
        <v>348</v>
      </c>
      <c r="C26" s="6" t="s">
        <v>349</v>
      </c>
      <c r="D26" s="6" t="s">
        <v>350</v>
      </c>
    </row>
    <row r="27" customFormat="false" ht="15" hidden="false" customHeight="false" outlineLevel="0" collapsed="false">
      <c r="A27" s="4" t="s">
        <v>351</v>
      </c>
      <c r="B27" s="4" t="s">
        <v>352</v>
      </c>
      <c r="C27" s="4" t="s">
        <v>353</v>
      </c>
      <c r="D27" s="4" t="s">
        <v>354</v>
      </c>
    </row>
    <row r="28" customFormat="false" ht="15" hidden="false" customHeight="false" outlineLevel="0" collapsed="false">
      <c r="A28" s="4" t="s">
        <v>355</v>
      </c>
      <c r="B28" s="4" t="s">
        <v>356</v>
      </c>
      <c r="C28" s="4" t="s">
        <v>357</v>
      </c>
      <c r="D28" s="4" t="s">
        <v>358</v>
      </c>
    </row>
    <row r="29" customFormat="false" ht="15" hidden="false" customHeight="false" outlineLevel="0" collapsed="false">
      <c r="A29" s="4" t="s">
        <v>359</v>
      </c>
      <c r="B29" s="4" t="s">
        <v>360</v>
      </c>
      <c r="C29" s="4" t="s">
        <v>361</v>
      </c>
      <c r="D29" s="4" t="s">
        <v>362</v>
      </c>
    </row>
    <row r="30" customFormat="false" ht="15" hidden="false" customHeight="false" outlineLevel="0" collapsed="false">
      <c r="A30" s="4" t="s">
        <v>363</v>
      </c>
      <c r="B30" s="4" t="s">
        <v>364</v>
      </c>
      <c r="C30" s="4" t="s">
        <v>365</v>
      </c>
      <c r="D30" s="4" t="s">
        <v>366</v>
      </c>
    </row>
    <row r="31" customFormat="false" ht="15" hidden="false" customHeight="false" outlineLevel="0" collapsed="false">
      <c r="A31" s="4" t="s">
        <v>367</v>
      </c>
      <c r="B31" s="4" t="s">
        <v>368</v>
      </c>
      <c r="C31" s="4" t="s">
        <v>366</v>
      </c>
      <c r="D31" s="4" t="s">
        <v>369</v>
      </c>
    </row>
    <row r="32" customFormat="false" ht="15" hidden="false" customHeight="false" outlineLevel="0" collapsed="false">
      <c r="A32" s="4" t="s">
        <v>370</v>
      </c>
      <c r="B32" s="4" t="s">
        <v>371</v>
      </c>
      <c r="C32" s="4" t="s">
        <v>372</v>
      </c>
      <c r="D32" s="4" t="s">
        <v>373</v>
      </c>
    </row>
    <row r="33" customFormat="false" ht="15" hidden="false" customHeight="false" outlineLevel="0" collapsed="false">
      <c r="A33" s="4" t="s">
        <v>374</v>
      </c>
      <c r="B33" s="4" t="s">
        <v>373</v>
      </c>
      <c r="C33" s="4" t="s">
        <v>365</v>
      </c>
      <c r="D33" s="4" t="s">
        <v>366</v>
      </c>
    </row>
    <row r="34" customFormat="false" ht="15" hidden="false" customHeight="false" outlineLevel="0" collapsed="false">
      <c r="A34" s="4" t="s">
        <v>375</v>
      </c>
      <c r="B34" s="4" t="s">
        <v>376</v>
      </c>
      <c r="C34" s="4" t="s">
        <v>371</v>
      </c>
      <c r="D34" s="4" t="s">
        <v>372</v>
      </c>
    </row>
    <row r="35" customFormat="false" ht="15" hidden="false" customHeight="false" outlineLevel="0" collapsed="false">
      <c r="A35" s="4" t="s">
        <v>377</v>
      </c>
      <c r="B35" s="4" t="s">
        <v>372</v>
      </c>
      <c r="C35" s="4" t="s">
        <v>373</v>
      </c>
      <c r="D35" s="4" t="s">
        <v>365</v>
      </c>
    </row>
    <row r="36" customFormat="false" ht="15" hidden="false" customHeight="false" outlineLevel="0" collapsed="false">
      <c r="A36" s="4" t="s">
        <v>378</v>
      </c>
      <c r="B36" s="4" t="s">
        <v>379</v>
      </c>
      <c r="C36" s="4" t="s">
        <v>380</v>
      </c>
      <c r="D36" s="4" t="s">
        <v>381</v>
      </c>
    </row>
    <row r="37" customFormat="false" ht="15" hidden="false" customHeight="false" outlineLevel="0" collapsed="false">
      <c r="A37" s="4" t="s">
        <v>382</v>
      </c>
      <c r="B37" s="4" t="s">
        <v>383</v>
      </c>
      <c r="C37" s="4" t="s">
        <v>384</v>
      </c>
      <c r="D37" s="4" t="s">
        <v>385</v>
      </c>
    </row>
    <row r="38" customFormat="false" ht="15" hidden="false" customHeight="false" outlineLevel="0" collapsed="false">
      <c r="A38" s="4" t="s">
        <v>386</v>
      </c>
      <c r="B38" s="4" t="s">
        <v>387</v>
      </c>
      <c r="C38" s="4" t="s">
        <v>388</v>
      </c>
      <c r="D38" s="4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390</v>
      </c>
    </row>
    <row r="2" customFormat="false" ht="15" hidden="false" customHeight="false" outlineLevel="0" collapsed="false">
      <c r="A2" s="4" t="s">
        <v>391</v>
      </c>
    </row>
    <row r="4" customFormat="false" ht="15" hidden="false" customHeight="false" outlineLevel="0" collapsed="false">
      <c r="A4" s="6" t="s">
        <v>283</v>
      </c>
      <c r="B4" s="6" t="s">
        <v>135</v>
      </c>
      <c r="C4" s="6" t="s">
        <v>136</v>
      </c>
      <c r="D4" s="6" t="s">
        <v>137</v>
      </c>
    </row>
    <row r="5" customFormat="false" ht="15" hidden="false" customHeight="false" outlineLevel="0" collapsed="false">
      <c r="A5" s="4" t="s">
        <v>392</v>
      </c>
      <c r="B5" s="19" t="n">
        <v>205.843540984204</v>
      </c>
      <c r="C5" s="19" t="n">
        <v>360.719051987493</v>
      </c>
      <c r="D5" s="19" t="n">
        <v>524.764154643619</v>
      </c>
    </row>
    <row r="6" customFormat="false" ht="15" hidden="false" customHeight="false" outlineLevel="0" collapsed="false">
      <c r="A6" s="4" t="s">
        <v>393</v>
      </c>
      <c r="B6" s="19" t="n">
        <v>473.593931683039</v>
      </c>
      <c r="C6" s="19" t="n">
        <v>859.948470115842</v>
      </c>
      <c r="D6" s="19" t="n">
        <v>1286.95615167515</v>
      </c>
    </row>
    <row r="7" customFormat="false" ht="15" hidden="false" customHeight="false" outlineLevel="0" collapsed="false">
      <c r="A7" s="4" t="s">
        <v>394</v>
      </c>
      <c r="B7" s="19" t="n">
        <v>80510.9683861166</v>
      </c>
      <c r="C7" s="19" t="n">
        <v>146191.239919693</v>
      </c>
      <c r="D7" s="19" t="n">
        <v>218782.545784776</v>
      </c>
    </row>
    <row r="8" customFormat="false" ht="15" hidden="false" customHeight="false" outlineLevel="0" collapsed="false">
      <c r="A8" s="4" t="s">
        <v>395</v>
      </c>
      <c r="B8" s="19" t="n">
        <v>4064441.67880184</v>
      </c>
      <c r="C8" s="19" t="n">
        <v>6923404.63598911</v>
      </c>
      <c r="D8" s="19" t="n">
        <v>9771924.93791339</v>
      </c>
    </row>
    <row r="9" customFormat="false" ht="15" hidden="false" customHeight="false" outlineLevel="0" collapsed="false">
      <c r="A9" s="4" t="s">
        <v>396</v>
      </c>
      <c r="B9" s="19" t="n">
        <v>11171155.6405554</v>
      </c>
      <c r="C9" s="19" t="n">
        <v>19456170.7117084</v>
      </c>
      <c r="D9" s="19" t="n">
        <v>28131847.8376104</v>
      </c>
    </row>
    <row r="10" customFormat="false" ht="15" hidden="false" customHeight="false" outlineLevel="0" collapsed="false">
      <c r="A10" s="4" t="s">
        <v>397</v>
      </c>
      <c r="B10" s="19" t="n">
        <v>3123872.09546064</v>
      </c>
      <c r="C10" s="19" t="n">
        <v>5185290.80211261</v>
      </c>
      <c r="D10" s="19" t="n">
        <v>7205416.88495558</v>
      </c>
    </row>
    <row r="11" customFormat="false" ht="15" hidden="false" customHeight="false" outlineLevel="0" collapsed="false">
      <c r="A11" s="4" t="s">
        <v>398</v>
      </c>
      <c r="B11" s="19" t="n">
        <v>9177855.63975097</v>
      </c>
      <c r="C11" s="19" t="n">
        <v>15671136.1125093</v>
      </c>
      <c r="D11" s="19" t="n">
        <v>22358940.5012324</v>
      </c>
    </row>
    <row r="12" customFormat="false" ht="15" hidden="false" customHeight="false" outlineLevel="0" collapsed="false">
      <c r="A12" s="4" t="s">
        <v>399</v>
      </c>
      <c r="B12" s="19" t="n">
        <v>-1350001.43670929</v>
      </c>
      <c r="C12" s="19" t="n">
        <v>-230952.885105675</v>
      </c>
      <c r="D12" s="19" t="n">
        <v>815463.271099131</v>
      </c>
    </row>
    <row r="13" customFormat="false" ht="15" hidden="false" customHeight="false" outlineLevel="0" collapsed="false">
      <c r="A13" s="4" t="s">
        <v>400</v>
      </c>
      <c r="B13" s="19" t="n">
        <v>696490.658914285</v>
      </c>
      <c r="C13" s="19" t="n">
        <v>4993036.28721232</v>
      </c>
      <c r="D13" s="19" t="n">
        <v>9225813.98515458</v>
      </c>
    </row>
    <row r="14" customFormat="false" ht="15" hidden="false" customHeight="false" outlineLevel="0" collapsed="false">
      <c r="A14" s="4" t="s">
        <v>401</v>
      </c>
      <c r="B14" s="26" t="n">
        <v>0.0758881688983707</v>
      </c>
      <c r="C14" s="26" t="n">
        <v>0.318613548588012</v>
      </c>
      <c r="D14" s="26" t="n">
        <v>0.412623039300367</v>
      </c>
    </row>
    <row r="15" customFormat="false" ht="15" hidden="false" customHeight="false" outlineLevel="0" collapsed="false">
      <c r="A15" s="4" t="s">
        <v>402</v>
      </c>
      <c r="B15" s="26" t="n">
        <v>0.741712320952719</v>
      </c>
      <c r="C15" s="26" t="n">
        <v>0.75090983261507</v>
      </c>
      <c r="D15" s="26" t="n">
        <v>0.744594569913764</v>
      </c>
    </row>
    <row r="16" customFormat="false" ht="15" hidden="false" customHeight="false" outlineLevel="0" collapsed="false">
      <c r="A16" s="4" t="s">
        <v>403</v>
      </c>
      <c r="B16" s="19" t="n">
        <v>5696925.48808007</v>
      </c>
      <c r="C16" s="19" t="n">
        <v>4044057.4272444</v>
      </c>
      <c r="D16" s="19" t="n">
        <v>3423971.6545039</v>
      </c>
    </row>
    <row r="17" customFormat="false" ht="15" hidden="false" customHeight="false" outlineLevel="0" collapsed="false">
      <c r="A17" s="4" t="s">
        <v>404</v>
      </c>
      <c r="B17" s="19" t="n">
        <v>4700000</v>
      </c>
      <c r="C17" s="19" t="n">
        <v>4700000</v>
      </c>
      <c r="D17" s="19" t="n">
        <v>4700000</v>
      </c>
    </row>
    <row r="18" customFormat="false" ht="15" hidden="false" customHeight="false" outlineLevel="0" collapsed="false">
      <c r="A18" s="4" t="s">
        <v>405</v>
      </c>
      <c r="B18" s="19" t="n">
        <v>-996925.488080068</v>
      </c>
      <c r="C18" s="19" t="n">
        <v>489402.219802259</v>
      </c>
      <c r="D18" s="19" t="n">
        <v>668832.974877235</v>
      </c>
    </row>
    <row r="19" customFormat="false" ht="15" hidden="false" customHeight="false" outlineLevel="0" collapsed="false">
      <c r="A19" s="4" t="s">
        <v>406</v>
      </c>
      <c r="B19" s="19" t="n">
        <v>44</v>
      </c>
      <c r="C19" s="19" t="n">
        <v>32</v>
      </c>
      <c r="D19" s="19" t="n">
        <v>28</v>
      </c>
    </row>
    <row r="20" customFormat="false" ht="15" hidden="false" customHeight="false" outlineLevel="0" collapsed="false">
      <c r="A20" s="4" t="s">
        <v>407</v>
      </c>
      <c r="B20" s="19" t="s">
        <v>408</v>
      </c>
      <c r="C20" s="19" t="n">
        <v>54</v>
      </c>
      <c r="D20" s="19" t="n">
        <v>45</v>
      </c>
    </row>
    <row r="21" customFormat="false" ht="15" hidden="false" customHeight="false" outlineLevel="0" collapsed="false">
      <c r="A21" s="4" t="s">
        <v>409</v>
      </c>
      <c r="B21" s="19" t="n">
        <v>-3377012.54008122</v>
      </c>
      <c r="C21" s="19" t="n">
        <v>-226235.57402374</v>
      </c>
      <c r="D21" s="19" t="n">
        <v>2848667.3775707</v>
      </c>
    </row>
    <row r="22" customFormat="false" ht="15" hidden="false" customHeight="false" outlineLevel="0" collapsed="false">
      <c r="A22" s="4" t="s">
        <v>410</v>
      </c>
      <c r="B22" s="19" t="n">
        <v>1134087.06396917</v>
      </c>
      <c r="C22" s="19" t="n">
        <v>7476441.24799682</v>
      </c>
      <c r="D22" s="19" t="n">
        <v>13838533.8127365</v>
      </c>
    </row>
    <row r="23" customFormat="false" ht="15" hidden="false" customHeight="false" outlineLevel="0" collapsed="false">
      <c r="A23" s="4" t="s">
        <v>305</v>
      </c>
      <c r="B23" s="26" t="s">
        <v>411</v>
      </c>
      <c r="C23" s="26" t="n">
        <v>0.215474576238599</v>
      </c>
      <c r="D23" s="26" t="n">
        <v>0.616853942613835</v>
      </c>
    </row>
    <row r="24" customFormat="false" ht="15" hidden="false" customHeight="false" outlineLevel="0" collapsed="false">
      <c r="A24" s="4" t="s">
        <v>307</v>
      </c>
      <c r="B24" s="26" t="n">
        <v>0.362461206456023</v>
      </c>
      <c r="C24" s="26" t="n">
        <v>0.840078652617645</v>
      </c>
      <c r="D24" s="26" t="n">
        <v>1.1911935157137</v>
      </c>
    </row>
    <row r="25" customFormat="false" ht="15" hidden="false" customHeight="false" outlineLevel="0" collapsed="false">
      <c r="A25" s="4" t="s">
        <v>412</v>
      </c>
      <c r="B25" s="19" t="n">
        <v>35</v>
      </c>
      <c r="C25" s="19" t="n">
        <v>44</v>
      </c>
      <c r="D25" s="19" t="n">
        <v>56</v>
      </c>
    </row>
    <row r="28" customFormat="false" ht="15" hidden="false" customHeight="false" outlineLevel="0" collapsed="false">
      <c r="A28" s="5" t="s">
        <v>413</v>
      </c>
    </row>
    <row r="29" customFormat="false" ht="15" hidden="false" customHeight="false" outlineLevel="0" collapsed="false">
      <c r="A29" s="6" t="s">
        <v>414</v>
      </c>
      <c r="B29" s="6" t="s">
        <v>415</v>
      </c>
      <c r="C29" s="6" t="s">
        <v>416</v>
      </c>
      <c r="D29" s="6" t="s">
        <v>417</v>
      </c>
    </row>
    <row r="30" customFormat="false" ht="15" hidden="false" customHeight="false" outlineLevel="0" collapsed="false">
      <c r="A30" s="4" t="s">
        <v>418</v>
      </c>
      <c r="B30" s="19" t="n">
        <v>4847715.10964642</v>
      </c>
      <c r="C30" s="19" t="n">
        <v>4257051.81631227</v>
      </c>
      <c r="D30" s="19" t="n">
        <v>3512759.27922983</v>
      </c>
    </row>
    <row r="31" customFormat="false" ht="15" hidden="false" customHeight="false" outlineLevel="0" collapsed="false">
      <c r="A31" s="4" t="s">
        <v>419</v>
      </c>
      <c r="B31" s="19" t="n">
        <v>6536253.61190309</v>
      </c>
      <c r="C31" s="19" t="n">
        <v>5866746.53215455</v>
      </c>
      <c r="D31" s="19" t="n">
        <v>5026600.43440385</v>
      </c>
    </row>
    <row r="32" customFormat="false" ht="15" hidden="false" customHeight="false" outlineLevel="0" collapsed="false">
      <c r="A32" s="4" t="s">
        <v>420</v>
      </c>
      <c r="B32" s="19" t="n">
        <v>8224792.11415975</v>
      </c>
      <c r="C32" s="19" t="n">
        <v>7476441.24799682</v>
      </c>
      <c r="D32" s="19" t="n">
        <v>6540441.58957787</v>
      </c>
    </row>
    <row r="33" customFormat="false" ht="15" hidden="false" customHeight="false" outlineLevel="0" collapsed="false">
      <c r="A33" s="4" t="s">
        <v>421</v>
      </c>
      <c r="B33" s="19" t="n">
        <v>9913330.61641643</v>
      </c>
      <c r="C33" s="19" t="n">
        <v>9086135.96383909</v>
      </c>
      <c r="D33" s="19" t="n">
        <v>8054282.74475189</v>
      </c>
    </row>
    <row r="34" customFormat="false" ht="15" hidden="false" customHeight="false" outlineLevel="0" collapsed="false">
      <c r="A34" s="4" t="s">
        <v>422</v>
      </c>
      <c r="B34" s="19" t="n">
        <v>11601869.1186731</v>
      </c>
      <c r="C34" s="19" t="n">
        <v>10695830.6796814</v>
      </c>
      <c r="D34" s="19" t="n">
        <v>9568123.89992592</v>
      </c>
    </row>
    <row r="37" customFormat="false" ht="15" hidden="false" customHeight="false" outlineLevel="0" collapsed="false">
      <c r="A37" s="5" t="s">
        <v>423</v>
      </c>
    </row>
    <row r="38" customFormat="false" ht="15" hidden="false" customHeight="false" outlineLevel="0" collapsed="false">
      <c r="A38" s="6" t="s">
        <v>414</v>
      </c>
      <c r="B38" s="6" t="s">
        <v>415</v>
      </c>
      <c r="C38" s="6" t="s">
        <v>416</v>
      </c>
      <c r="D38" s="6" t="s">
        <v>417</v>
      </c>
    </row>
    <row r="39" customFormat="false" ht="15" hidden="false" customHeight="false" outlineLevel="0" collapsed="false">
      <c r="A39" s="4" t="s">
        <v>418</v>
      </c>
      <c r="B39" s="19" t="n">
        <v>3053741.86553822</v>
      </c>
      <c r="C39" s="19" t="n">
        <v>2609581.620271</v>
      </c>
      <c r="D39" s="19" t="n">
        <v>2037692.69529993</v>
      </c>
    </row>
    <row r="40" customFormat="false" ht="15" hidden="false" customHeight="false" outlineLevel="0" collapsed="false">
      <c r="A40" s="4" t="s">
        <v>419</v>
      </c>
      <c r="B40" s="19" t="n">
        <v>4316423.38561093</v>
      </c>
      <c r="C40" s="19" t="n">
        <v>3801308.95374166</v>
      </c>
      <c r="D40" s="19" t="n">
        <v>3143985.59272418</v>
      </c>
    </row>
    <row r="41" customFormat="false" ht="15" hidden="false" customHeight="false" outlineLevel="0" collapsed="false">
      <c r="A41" s="4" t="s">
        <v>420</v>
      </c>
      <c r="B41" s="19" t="n">
        <v>5579104.90568364</v>
      </c>
      <c r="C41" s="19" t="n">
        <v>4993036.28721232</v>
      </c>
      <c r="D41" s="19" t="n">
        <v>4250278.49014843</v>
      </c>
    </row>
    <row r="42" customFormat="false" ht="15" hidden="false" customHeight="false" outlineLevel="0" collapsed="false">
      <c r="A42" s="4" t="s">
        <v>421</v>
      </c>
      <c r="B42" s="19" t="n">
        <v>6841786.42575635</v>
      </c>
      <c r="C42" s="19" t="n">
        <v>6184763.62068299</v>
      </c>
      <c r="D42" s="19" t="n">
        <v>5356571.38757268</v>
      </c>
    </row>
    <row r="43" customFormat="false" ht="15" hidden="false" customHeight="false" outlineLevel="0" collapsed="false">
      <c r="A43" s="4" t="s">
        <v>422</v>
      </c>
      <c r="B43" s="19" t="n">
        <v>8104467.94582905</v>
      </c>
      <c r="C43" s="19" t="n">
        <v>7376490.95415365</v>
      </c>
      <c r="D43" s="19" t="n">
        <v>6462864.28499693</v>
      </c>
    </row>
    <row r="46" customFormat="false" ht="15" hidden="false" customHeight="false" outlineLevel="0" collapsed="false">
      <c r="A46" s="5" t="s">
        <v>424</v>
      </c>
    </row>
    <row r="47" customFormat="false" ht="15" hidden="false" customHeight="false" outlineLevel="0" collapsed="false">
      <c r="A47" s="6" t="s">
        <v>414</v>
      </c>
      <c r="B47" s="6" t="s">
        <v>415</v>
      </c>
      <c r="C47" s="6" t="s">
        <v>416</v>
      </c>
      <c r="D47" s="6" t="s">
        <v>417</v>
      </c>
    </row>
    <row r="48" customFormat="false" ht="15" hidden="false" customHeight="false" outlineLevel="0" collapsed="false">
      <c r="A48" s="4" t="s">
        <v>418</v>
      </c>
      <c r="B48" s="19" t="n">
        <v>4895481.19659602</v>
      </c>
      <c r="C48" s="19" t="n">
        <v>5007153.02909416</v>
      </c>
      <c r="D48" s="19" t="n">
        <v>5192295.36173069</v>
      </c>
    </row>
    <row r="49" customFormat="false" ht="15" hidden="false" customHeight="false" outlineLevel="0" collapsed="false">
      <c r="A49" s="4" t="s">
        <v>419</v>
      </c>
      <c r="B49" s="19" t="n">
        <v>4382093.43549686</v>
      </c>
      <c r="C49" s="19" t="n">
        <v>4434279.10410677</v>
      </c>
      <c r="D49" s="19" t="n">
        <v>4537803.59994638</v>
      </c>
    </row>
    <row r="50" customFormat="false" ht="15" hidden="false" customHeight="false" outlineLevel="0" collapsed="false">
      <c r="A50" s="4" t="s">
        <v>420</v>
      </c>
      <c r="B50" s="19" t="n">
        <v>3990017.29623669</v>
      </c>
      <c r="C50" s="19" t="n">
        <v>4044057.4272444</v>
      </c>
      <c r="D50" s="19" t="n">
        <v>4139421.35299291</v>
      </c>
    </row>
    <row r="51" customFormat="false" ht="15" hidden="false" customHeight="false" outlineLevel="0" collapsed="false">
      <c r="A51" s="4" t="s">
        <v>421</v>
      </c>
      <c r="B51" s="19" t="n">
        <v>3653596.88248424</v>
      </c>
      <c r="C51" s="19" t="n">
        <v>3700857.5151286</v>
      </c>
      <c r="D51" s="19" t="n">
        <v>3792674.67230602</v>
      </c>
    </row>
    <row r="52" customFormat="false" ht="15" hidden="false" customHeight="false" outlineLevel="0" collapsed="false">
      <c r="A52" s="4" t="s">
        <v>422</v>
      </c>
      <c r="B52" s="19" t="n">
        <v>3376421.65084618</v>
      </c>
      <c r="C52" s="19" t="n">
        <v>3414302.1125148</v>
      </c>
      <c r="D52" s="19" t="n">
        <v>3491116.37505846</v>
      </c>
    </row>
    <row r="55" customFormat="false" ht="15" hidden="false" customHeight="false" outlineLevel="0" collapsed="false">
      <c r="A55" s="5" t="s">
        <v>425</v>
      </c>
    </row>
    <row r="56" customFormat="false" ht="15" hidden="false" customHeight="false" outlineLevel="0" collapsed="false">
      <c r="A56" s="6" t="s">
        <v>426</v>
      </c>
      <c r="B56" s="6" t="s">
        <v>427</v>
      </c>
      <c r="C56" s="6" t="s">
        <v>428</v>
      </c>
      <c r="D56" s="6" t="s">
        <v>429</v>
      </c>
      <c r="E56" s="6" t="s">
        <v>430</v>
      </c>
    </row>
    <row r="57" customFormat="false" ht="15" hidden="false" customHeight="false" outlineLevel="0" collapsed="false">
      <c r="A57" s="4" t="s">
        <v>431</v>
      </c>
      <c r="B57" s="19" t="n">
        <v>515.969082069505</v>
      </c>
      <c r="C57" s="19" t="n">
        <v>1468441.87762989</v>
      </c>
      <c r="D57" s="19" t="n">
        <v>5232569.30394207</v>
      </c>
      <c r="E57" s="19" t="n">
        <v>43</v>
      </c>
    </row>
    <row r="58" customFormat="false" ht="15" hidden="false" customHeight="false" outlineLevel="0" collapsed="false">
      <c r="A58" s="4" t="s">
        <v>432</v>
      </c>
      <c r="B58" s="19" t="n">
        <v>687.958776092674</v>
      </c>
      <c r="C58" s="19" t="n">
        <v>3278599.64101486</v>
      </c>
      <c r="D58" s="19" t="n">
        <v>4488996.54191746</v>
      </c>
      <c r="E58" s="19" t="n">
        <v>34</v>
      </c>
    </row>
    <row r="59" customFormat="false" ht="15" hidden="false" customHeight="false" outlineLevel="0" collapsed="false">
      <c r="A59" s="4" t="s">
        <v>433</v>
      </c>
      <c r="B59" s="19" t="n">
        <v>859.948470115842</v>
      </c>
      <c r="C59" s="19" t="n">
        <v>4993036.28721232</v>
      </c>
      <c r="D59" s="19" t="n">
        <v>4044057.4272444</v>
      </c>
      <c r="E59" s="19" t="n">
        <v>32</v>
      </c>
    </row>
    <row r="60" customFormat="false" ht="15" hidden="false" customHeight="false" outlineLevel="0" collapsed="false">
      <c r="A60" s="4" t="s">
        <v>434</v>
      </c>
      <c r="B60" s="19" t="n">
        <v>1031.93816413901</v>
      </c>
      <c r="C60" s="19" t="n">
        <v>6672527.12872229</v>
      </c>
      <c r="D60" s="19" t="n">
        <v>3642030.28908109</v>
      </c>
      <c r="E60" s="19" t="n">
        <v>29</v>
      </c>
    </row>
    <row r="61" customFormat="false" ht="15" hidden="false" customHeight="false" outlineLevel="0" collapsed="false">
      <c r="A61" s="4" t="s">
        <v>435</v>
      </c>
      <c r="B61" s="19" t="n">
        <v>1203.92785816218</v>
      </c>
      <c r="C61" s="19" t="n">
        <v>8376935.84835724</v>
      </c>
      <c r="D61" s="19" t="n">
        <v>3462030.99556525</v>
      </c>
      <c r="E61" s="19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62" min="3" style="0" width="12"/>
  </cols>
  <sheetData>
    <row r="1" customFormat="false" ht="17.35" hidden="false" customHeight="false" outlineLevel="0" collapsed="false">
      <c r="A1" s="1" t="s">
        <v>436</v>
      </c>
    </row>
    <row r="3" customFormat="false" ht="15" hidden="false" customHeight="false" outlineLevel="0" collapsed="false">
      <c r="A3" s="6" t="s">
        <v>437</v>
      </c>
      <c r="B3" s="6" t="s">
        <v>438</v>
      </c>
      <c r="C3" s="6" t="s">
        <v>439</v>
      </c>
      <c r="D3" s="6" t="s">
        <v>440</v>
      </c>
      <c r="E3" s="6" t="s">
        <v>441</v>
      </c>
      <c r="F3" s="6" t="s">
        <v>442</v>
      </c>
      <c r="G3" s="6" t="s">
        <v>443</v>
      </c>
      <c r="H3" s="6" t="s">
        <v>444</v>
      </c>
      <c r="I3" s="6" t="s">
        <v>445</v>
      </c>
      <c r="J3" s="6" t="s">
        <v>446</v>
      </c>
      <c r="K3" s="6" t="s">
        <v>447</v>
      </c>
      <c r="L3" s="6" t="s">
        <v>448</v>
      </c>
      <c r="M3" s="6" t="s">
        <v>449</v>
      </c>
      <c r="N3" s="6" t="s">
        <v>450</v>
      </c>
      <c r="O3" s="6" t="s">
        <v>451</v>
      </c>
      <c r="P3" s="6" t="s">
        <v>452</v>
      </c>
      <c r="Q3" s="6" t="s">
        <v>453</v>
      </c>
      <c r="R3" s="6" t="s">
        <v>454</v>
      </c>
      <c r="S3" s="6" t="s">
        <v>455</v>
      </c>
      <c r="T3" s="6" t="s">
        <v>456</v>
      </c>
      <c r="U3" s="6" t="s">
        <v>457</v>
      </c>
      <c r="V3" s="6" t="s">
        <v>458</v>
      </c>
      <c r="W3" s="6" t="s">
        <v>459</v>
      </c>
      <c r="X3" s="6" t="s">
        <v>460</v>
      </c>
      <c r="Y3" s="6" t="s">
        <v>461</v>
      </c>
      <c r="Z3" s="6" t="s">
        <v>462</v>
      </c>
      <c r="AA3" s="6" t="s">
        <v>463</v>
      </c>
      <c r="AB3" s="6" t="s">
        <v>464</v>
      </c>
      <c r="AC3" s="6" t="s">
        <v>465</v>
      </c>
      <c r="AD3" s="6" t="s">
        <v>466</v>
      </c>
      <c r="AE3" s="6" t="s">
        <v>467</v>
      </c>
      <c r="AF3" s="6" t="s">
        <v>468</v>
      </c>
      <c r="AG3" s="6" t="s">
        <v>469</v>
      </c>
      <c r="AH3" s="6" t="s">
        <v>470</v>
      </c>
      <c r="AI3" s="6" t="s">
        <v>471</v>
      </c>
      <c r="AJ3" s="6" t="s">
        <v>472</v>
      </c>
      <c r="AK3" s="6" t="s">
        <v>473</v>
      </c>
      <c r="AL3" s="6" t="s">
        <v>474</v>
      </c>
      <c r="AM3" s="6" t="s">
        <v>475</v>
      </c>
      <c r="AN3" s="6" t="s">
        <v>476</v>
      </c>
      <c r="AO3" s="6" t="s">
        <v>477</v>
      </c>
      <c r="AP3" s="6" t="s">
        <v>478</v>
      </c>
      <c r="AQ3" s="6" t="s">
        <v>479</v>
      </c>
      <c r="AR3" s="6" t="s">
        <v>480</v>
      </c>
      <c r="AS3" s="6" t="s">
        <v>481</v>
      </c>
      <c r="AT3" s="6" t="s">
        <v>482</v>
      </c>
      <c r="AU3" s="6" t="s">
        <v>483</v>
      </c>
      <c r="AV3" s="6" t="s">
        <v>484</v>
      </c>
      <c r="AW3" s="6" t="s">
        <v>485</v>
      </c>
      <c r="AX3" s="6" t="s">
        <v>486</v>
      </c>
      <c r="AY3" s="6" t="s">
        <v>487</v>
      </c>
      <c r="AZ3" s="6" t="s">
        <v>488</v>
      </c>
      <c r="BA3" s="6" t="s">
        <v>489</v>
      </c>
      <c r="BB3" s="6" t="s">
        <v>490</v>
      </c>
      <c r="BC3" s="6" t="s">
        <v>491</v>
      </c>
      <c r="BD3" s="6" t="s">
        <v>492</v>
      </c>
      <c r="BE3" s="6" t="s">
        <v>493</v>
      </c>
      <c r="BF3" s="6" t="s">
        <v>494</v>
      </c>
      <c r="BG3" s="6" t="s">
        <v>495</v>
      </c>
      <c r="BH3" s="6" t="s">
        <v>496</v>
      </c>
      <c r="BI3" s="6" t="s">
        <v>497</v>
      </c>
      <c r="BJ3" s="6" t="s">
        <v>498</v>
      </c>
    </row>
    <row r="4" customFormat="false" ht="15" hidden="false" customHeight="false" outlineLevel="0" collapsed="false">
      <c r="A4" s="7" t="s">
        <v>499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</row>
    <row r="5" customFormat="false" ht="15" hidden="false" customHeight="false" outlineLevel="0" collapsed="false">
      <c r="A5" s="4" t="s">
        <v>198</v>
      </c>
      <c r="B5" s="4" t="s">
        <v>500</v>
      </c>
      <c r="C5" s="19" t="n">
        <v>1</v>
      </c>
      <c r="D5" s="19" t="n">
        <f aca="false">C5+1</f>
        <v>2</v>
      </c>
      <c r="E5" s="19" t="n">
        <f aca="false">D5+1</f>
        <v>3</v>
      </c>
      <c r="F5" s="19" t="n">
        <f aca="false">E5+1</f>
        <v>4</v>
      </c>
      <c r="G5" s="19" t="n">
        <f aca="false">F5+1</f>
        <v>5</v>
      </c>
      <c r="H5" s="19" t="n">
        <f aca="false">G5+1</f>
        <v>6</v>
      </c>
      <c r="I5" s="19" t="n">
        <f aca="false">H5+1</f>
        <v>7</v>
      </c>
      <c r="J5" s="19" t="n">
        <f aca="false">I5+1</f>
        <v>8</v>
      </c>
      <c r="K5" s="19" t="n">
        <f aca="false">J5+1</f>
        <v>9</v>
      </c>
      <c r="L5" s="19" t="n">
        <f aca="false">K5+1</f>
        <v>10</v>
      </c>
      <c r="M5" s="19" t="n">
        <f aca="false">L5+1</f>
        <v>11</v>
      </c>
      <c r="N5" s="19" t="n">
        <f aca="false">M5+1</f>
        <v>12</v>
      </c>
      <c r="O5" s="19" t="n">
        <f aca="false">N5+1</f>
        <v>13</v>
      </c>
      <c r="P5" s="19" t="n">
        <f aca="false">O5+1</f>
        <v>14</v>
      </c>
      <c r="Q5" s="19" t="n">
        <f aca="false">P5+1</f>
        <v>15</v>
      </c>
      <c r="R5" s="19" t="n">
        <f aca="false">Q5+1</f>
        <v>16</v>
      </c>
      <c r="S5" s="19" t="n">
        <f aca="false">R5+1</f>
        <v>17</v>
      </c>
      <c r="T5" s="19" t="n">
        <f aca="false">S5+1</f>
        <v>18</v>
      </c>
      <c r="U5" s="19" t="n">
        <f aca="false">T5+1</f>
        <v>19</v>
      </c>
      <c r="V5" s="19" t="n">
        <f aca="false">U5+1</f>
        <v>20</v>
      </c>
      <c r="W5" s="19" t="n">
        <f aca="false">V5+1</f>
        <v>21</v>
      </c>
      <c r="X5" s="19" t="n">
        <f aca="false">W5+1</f>
        <v>22</v>
      </c>
      <c r="Y5" s="19" t="n">
        <f aca="false">X5+1</f>
        <v>23</v>
      </c>
      <c r="Z5" s="19" t="n">
        <f aca="false">Y5+1</f>
        <v>24</v>
      </c>
      <c r="AA5" s="19" t="n">
        <f aca="false">Z5+1</f>
        <v>25</v>
      </c>
      <c r="AB5" s="19" t="n">
        <f aca="false">AA5+1</f>
        <v>26</v>
      </c>
      <c r="AC5" s="19" t="n">
        <f aca="false">AB5+1</f>
        <v>27</v>
      </c>
      <c r="AD5" s="19" t="n">
        <f aca="false">AC5+1</f>
        <v>28</v>
      </c>
      <c r="AE5" s="19" t="n">
        <f aca="false">AD5+1</f>
        <v>29</v>
      </c>
      <c r="AF5" s="19" t="n">
        <f aca="false">AE5+1</f>
        <v>30</v>
      </c>
      <c r="AG5" s="19" t="n">
        <f aca="false">AF5+1</f>
        <v>31</v>
      </c>
      <c r="AH5" s="19" t="n">
        <f aca="false">AG5+1</f>
        <v>32</v>
      </c>
      <c r="AI5" s="19" t="n">
        <f aca="false">AH5+1</f>
        <v>33</v>
      </c>
      <c r="AJ5" s="19" t="n">
        <f aca="false">AI5+1</f>
        <v>34</v>
      </c>
      <c r="AK5" s="19" t="n">
        <f aca="false">AJ5+1</f>
        <v>35</v>
      </c>
      <c r="AL5" s="19" t="n">
        <f aca="false">AK5+1</f>
        <v>36</v>
      </c>
      <c r="AM5" s="19" t="n">
        <f aca="false">AL5+1</f>
        <v>37</v>
      </c>
      <c r="AN5" s="19" t="n">
        <f aca="false">AM5+1</f>
        <v>38</v>
      </c>
      <c r="AO5" s="19" t="n">
        <f aca="false">AN5+1</f>
        <v>39</v>
      </c>
      <c r="AP5" s="19" t="n">
        <f aca="false">AO5+1</f>
        <v>40</v>
      </c>
      <c r="AQ5" s="19" t="n">
        <f aca="false">AP5+1</f>
        <v>41</v>
      </c>
      <c r="AR5" s="19" t="n">
        <f aca="false">AQ5+1</f>
        <v>42</v>
      </c>
      <c r="AS5" s="19" t="n">
        <f aca="false">AR5+1</f>
        <v>43</v>
      </c>
      <c r="AT5" s="19" t="n">
        <f aca="false">AS5+1</f>
        <v>44</v>
      </c>
      <c r="AU5" s="19" t="n">
        <f aca="false">AT5+1</f>
        <v>45</v>
      </c>
      <c r="AV5" s="19" t="n">
        <f aca="false">AU5+1</f>
        <v>46</v>
      </c>
      <c r="AW5" s="19" t="n">
        <f aca="false">AV5+1</f>
        <v>47</v>
      </c>
      <c r="AX5" s="19" t="n">
        <f aca="false">AW5+1</f>
        <v>48</v>
      </c>
      <c r="AY5" s="19" t="n">
        <f aca="false">AX5+1</f>
        <v>49</v>
      </c>
      <c r="AZ5" s="19" t="n">
        <f aca="false">AY5+1</f>
        <v>50</v>
      </c>
      <c r="BA5" s="19" t="n">
        <f aca="false">AZ5+1</f>
        <v>51</v>
      </c>
      <c r="BB5" s="19" t="n">
        <f aca="false">BA5+1</f>
        <v>52</v>
      </c>
      <c r="BC5" s="19" t="n">
        <f aca="false">BB5+1</f>
        <v>53</v>
      </c>
      <c r="BD5" s="19" t="n">
        <f aca="false">BC5+1</f>
        <v>54</v>
      </c>
      <c r="BE5" s="19" t="n">
        <f aca="false">BD5+1</f>
        <v>55</v>
      </c>
      <c r="BF5" s="19" t="n">
        <f aca="false">BE5+1</f>
        <v>56</v>
      </c>
      <c r="BG5" s="19" t="n">
        <f aca="false">BF5+1</f>
        <v>57</v>
      </c>
      <c r="BH5" s="19" t="n">
        <f aca="false">BG5+1</f>
        <v>58</v>
      </c>
      <c r="BI5" s="19" t="n">
        <f aca="false">BH5+1</f>
        <v>59</v>
      </c>
      <c r="BJ5" s="19" t="n">
        <f aca="false">BI5+1</f>
        <v>60</v>
      </c>
    </row>
    <row r="6" customFormat="false" ht="15" hidden="false" customHeight="false" outlineLevel="0" collapsed="false">
      <c r="A6" s="4" t="s">
        <v>501</v>
      </c>
      <c r="B6" s="4" t="s">
        <v>500</v>
      </c>
      <c r="C6" s="19" t="n">
        <f aca="false">ROUNDUP(C5/12,0)</f>
        <v>1</v>
      </c>
      <c r="D6" s="19" t="n">
        <f aca="false">ROUNDUP(D5/12,0)</f>
        <v>1</v>
      </c>
      <c r="E6" s="19" t="n">
        <f aca="false">ROUNDUP(E5/12,0)</f>
        <v>1</v>
      </c>
      <c r="F6" s="19" t="n">
        <f aca="false">ROUNDUP(F5/12,0)</f>
        <v>1</v>
      </c>
      <c r="G6" s="19" t="n">
        <f aca="false">ROUNDUP(G5/12,0)</f>
        <v>1</v>
      </c>
      <c r="H6" s="19" t="n">
        <f aca="false">ROUNDUP(H5/12,0)</f>
        <v>1</v>
      </c>
      <c r="I6" s="19" t="n">
        <f aca="false">ROUNDUP(I5/12,0)</f>
        <v>1</v>
      </c>
      <c r="J6" s="19" t="n">
        <f aca="false">ROUNDUP(J5/12,0)</f>
        <v>1</v>
      </c>
      <c r="K6" s="19" t="n">
        <f aca="false">ROUNDUP(K5/12,0)</f>
        <v>1</v>
      </c>
      <c r="L6" s="19" t="n">
        <f aca="false">ROUNDUP(L5/12,0)</f>
        <v>1</v>
      </c>
      <c r="M6" s="19" t="n">
        <f aca="false">ROUNDUP(M5/12,0)</f>
        <v>1</v>
      </c>
      <c r="N6" s="19" t="n">
        <f aca="false">ROUNDUP(N5/12,0)</f>
        <v>1</v>
      </c>
      <c r="O6" s="19" t="n">
        <f aca="false">ROUNDUP(O5/12,0)</f>
        <v>2</v>
      </c>
      <c r="P6" s="19" t="n">
        <f aca="false">ROUNDUP(P5/12,0)</f>
        <v>2</v>
      </c>
      <c r="Q6" s="19" t="n">
        <f aca="false">ROUNDUP(Q5/12,0)</f>
        <v>2</v>
      </c>
      <c r="R6" s="19" t="n">
        <f aca="false">ROUNDUP(R5/12,0)</f>
        <v>2</v>
      </c>
      <c r="S6" s="19" t="n">
        <f aca="false">ROUNDUP(S5/12,0)</f>
        <v>2</v>
      </c>
      <c r="T6" s="19" t="n">
        <f aca="false">ROUNDUP(T5/12,0)</f>
        <v>2</v>
      </c>
      <c r="U6" s="19" t="n">
        <f aca="false">ROUNDUP(U5/12,0)</f>
        <v>2</v>
      </c>
      <c r="V6" s="19" t="n">
        <f aca="false">ROUNDUP(V5/12,0)</f>
        <v>2</v>
      </c>
      <c r="W6" s="19" t="n">
        <f aca="false">ROUNDUP(W5/12,0)</f>
        <v>2</v>
      </c>
      <c r="X6" s="19" t="n">
        <f aca="false">ROUNDUP(X5/12,0)</f>
        <v>2</v>
      </c>
      <c r="Y6" s="19" t="n">
        <f aca="false">ROUNDUP(Y5/12,0)</f>
        <v>2</v>
      </c>
      <c r="Z6" s="19" t="n">
        <f aca="false">ROUNDUP(Z5/12,0)</f>
        <v>2</v>
      </c>
      <c r="AA6" s="19" t="n">
        <f aca="false">ROUNDUP(AA5/12,0)</f>
        <v>3</v>
      </c>
      <c r="AB6" s="19" t="n">
        <f aca="false">ROUNDUP(AB5/12,0)</f>
        <v>3</v>
      </c>
      <c r="AC6" s="19" t="n">
        <f aca="false">ROUNDUP(AC5/12,0)</f>
        <v>3</v>
      </c>
      <c r="AD6" s="19" t="n">
        <f aca="false">ROUNDUP(AD5/12,0)</f>
        <v>3</v>
      </c>
      <c r="AE6" s="19" t="n">
        <f aca="false">ROUNDUP(AE5/12,0)</f>
        <v>3</v>
      </c>
      <c r="AF6" s="19" t="n">
        <f aca="false">ROUNDUP(AF5/12,0)</f>
        <v>3</v>
      </c>
      <c r="AG6" s="19" t="n">
        <f aca="false">ROUNDUP(AG5/12,0)</f>
        <v>3</v>
      </c>
      <c r="AH6" s="19" t="n">
        <f aca="false">ROUNDUP(AH5/12,0)</f>
        <v>3</v>
      </c>
      <c r="AI6" s="19" t="n">
        <f aca="false">ROUNDUP(AI5/12,0)</f>
        <v>3</v>
      </c>
      <c r="AJ6" s="19" t="n">
        <f aca="false">ROUNDUP(AJ5/12,0)</f>
        <v>3</v>
      </c>
      <c r="AK6" s="19" t="n">
        <f aca="false">ROUNDUP(AK5/12,0)</f>
        <v>3</v>
      </c>
      <c r="AL6" s="19" t="n">
        <f aca="false">ROUNDUP(AL5/12,0)</f>
        <v>3</v>
      </c>
      <c r="AM6" s="19" t="n">
        <f aca="false">ROUNDUP(AM5/12,0)</f>
        <v>4</v>
      </c>
      <c r="AN6" s="19" t="n">
        <f aca="false">ROUNDUP(AN5/12,0)</f>
        <v>4</v>
      </c>
      <c r="AO6" s="19" t="n">
        <f aca="false">ROUNDUP(AO5/12,0)</f>
        <v>4</v>
      </c>
      <c r="AP6" s="19" t="n">
        <f aca="false">ROUNDUP(AP5/12,0)</f>
        <v>4</v>
      </c>
      <c r="AQ6" s="19" t="n">
        <f aca="false">ROUNDUP(AQ5/12,0)</f>
        <v>4</v>
      </c>
      <c r="AR6" s="19" t="n">
        <f aca="false">ROUNDUP(AR5/12,0)</f>
        <v>4</v>
      </c>
      <c r="AS6" s="19" t="n">
        <f aca="false">ROUNDUP(AS5/12,0)</f>
        <v>4</v>
      </c>
      <c r="AT6" s="19" t="n">
        <f aca="false">ROUNDUP(AT5/12,0)</f>
        <v>4</v>
      </c>
      <c r="AU6" s="19" t="n">
        <f aca="false">ROUNDUP(AU5/12,0)</f>
        <v>4</v>
      </c>
      <c r="AV6" s="19" t="n">
        <f aca="false">ROUNDUP(AV5/12,0)</f>
        <v>4</v>
      </c>
      <c r="AW6" s="19" t="n">
        <f aca="false">ROUNDUP(AW5/12,0)</f>
        <v>4</v>
      </c>
      <c r="AX6" s="19" t="n">
        <f aca="false">ROUNDUP(AX5/12,0)</f>
        <v>4</v>
      </c>
      <c r="AY6" s="19" t="n">
        <f aca="false">ROUNDUP(AY5/12,0)</f>
        <v>5</v>
      </c>
      <c r="AZ6" s="19" t="n">
        <f aca="false">ROUNDUP(AZ5/12,0)</f>
        <v>5</v>
      </c>
      <c r="BA6" s="19" t="n">
        <f aca="false">ROUNDUP(BA5/12,0)</f>
        <v>5</v>
      </c>
      <c r="BB6" s="19" t="n">
        <f aca="false">ROUNDUP(BB5/12,0)</f>
        <v>5</v>
      </c>
      <c r="BC6" s="19" t="n">
        <f aca="false">ROUNDUP(BC5/12,0)</f>
        <v>5</v>
      </c>
      <c r="BD6" s="19" t="n">
        <f aca="false">ROUNDUP(BD5/12,0)</f>
        <v>5</v>
      </c>
      <c r="BE6" s="19" t="n">
        <f aca="false">ROUNDUP(BE5/12,0)</f>
        <v>5</v>
      </c>
      <c r="BF6" s="19" t="n">
        <f aca="false">ROUNDUP(BF5/12,0)</f>
        <v>5</v>
      </c>
      <c r="BG6" s="19" t="n">
        <f aca="false">ROUNDUP(BG5/12,0)</f>
        <v>5</v>
      </c>
      <c r="BH6" s="19" t="n">
        <f aca="false">ROUNDUP(BH5/12,0)</f>
        <v>5</v>
      </c>
      <c r="BI6" s="19" t="n">
        <f aca="false">ROUNDUP(BI5/12,0)</f>
        <v>5</v>
      </c>
      <c r="BJ6" s="19" t="n">
        <f aca="false">ROUNDUP(BJ5/12,0)</f>
        <v>5</v>
      </c>
    </row>
    <row r="7" customFormat="false" ht="15" hidden="false" customHeight="false" outlineLevel="0" collapsed="false">
      <c r="A7" s="4" t="s">
        <v>502</v>
      </c>
      <c r="B7" s="4" t="s">
        <v>41</v>
      </c>
      <c r="C7" s="32" t="n">
        <f aca="false">(1+reajuste)^(C6-1)</f>
        <v>1</v>
      </c>
      <c r="D7" s="32" t="n">
        <f aca="false">(1+reajuste)^(D6-1)</f>
        <v>1</v>
      </c>
      <c r="E7" s="32" t="n">
        <f aca="false">(1+reajuste)^(E6-1)</f>
        <v>1</v>
      </c>
      <c r="F7" s="32" t="n">
        <f aca="false">(1+reajuste)^(F6-1)</f>
        <v>1</v>
      </c>
      <c r="G7" s="32" t="n">
        <f aca="false">(1+reajuste)^(G6-1)</f>
        <v>1</v>
      </c>
      <c r="H7" s="32" t="n">
        <f aca="false">(1+reajuste)^(H6-1)</f>
        <v>1</v>
      </c>
      <c r="I7" s="32" t="n">
        <f aca="false">(1+reajuste)^(I6-1)</f>
        <v>1</v>
      </c>
      <c r="J7" s="32" t="n">
        <f aca="false">(1+reajuste)^(J6-1)</f>
        <v>1</v>
      </c>
      <c r="K7" s="32" t="n">
        <f aca="false">(1+reajuste)^(K6-1)</f>
        <v>1</v>
      </c>
      <c r="L7" s="32" t="n">
        <f aca="false">(1+reajuste)^(L6-1)</f>
        <v>1</v>
      </c>
      <c r="M7" s="32" t="n">
        <f aca="false">(1+reajuste)^(M6-1)</f>
        <v>1</v>
      </c>
      <c r="N7" s="32" t="n">
        <f aca="false">(1+reajuste)^(N6-1)</f>
        <v>1</v>
      </c>
      <c r="O7" s="32" t="n">
        <f aca="false">(1+reajuste)^(O6-1)</f>
        <v>1.05</v>
      </c>
      <c r="P7" s="32" t="n">
        <f aca="false">(1+reajuste)^(P6-1)</f>
        <v>1.05</v>
      </c>
      <c r="Q7" s="32" t="n">
        <f aca="false">(1+reajuste)^(Q6-1)</f>
        <v>1.05</v>
      </c>
      <c r="R7" s="32" t="n">
        <f aca="false">(1+reajuste)^(R6-1)</f>
        <v>1.05</v>
      </c>
      <c r="S7" s="32" t="n">
        <f aca="false">(1+reajuste)^(S6-1)</f>
        <v>1.05</v>
      </c>
      <c r="T7" s="32" t="n">
        <f aca="false">(1+reajuste)^(T6-1)</f>
        <v>1.05</v>
      </c>
      <c r="U7" s="32" t="n">
        <f aca="false">(1+reajuste)^(U6-1)</f>
        <v>1.05</v>
      </c>
      <c r="V7" s="32" t="n">
        <f aca="false">(1+reajuste)^(V6-1)</f>
        <v>1.05</v>
      </c>
      <c r="W7" s="32" t="n">
        <f aca="false">(1+reajuste)^(W6-1)</f>
        <v>1.05</v>
      </c>
      <c r="X7" s="32" t="n">
        <f aca="false">(1+reajuste)^(X6-1)</f>
        <v>1.05</v>
      </c>
      <c r="Y7" s="32" t="n">
        <f aca="false">(1+reajuste)^(Y6-1)</f>
        <v>1.05</v>
      </c>
      <c r="Z7" s="32" t="n">
        <f aca="false">(1+reajuste)^(Z6-1)</f>
        <v>1.05</v>
      </c>
      <c r="AA7" s="32" t="n">
        <f aca="false">(1+reajuste)^(AA6-1)</f>
        <v>1.1025</v>
      </c>
      <c r="AB7" s="32" t="n">
        <f aca="false">(1+reajuste)^(AB6-1)</f>
        <v>1.1025</v>
      </c>
      <c r="AC7" s="32" t="n">
        <f aca="false">(1+reajuste)^(AC6-1)</f>
        <v>1.1025</v>
      </c>
      <c r="AD7" s="32" t="n">
        <f aca="false">(1+reajuste)^(AD6-1)</f>
        <v>1.1025</v>
      </c>
      <c r="AE7" s="32" t="n">
        <f aca="false">(1+reajuste)^(AE6-1)</f>
        <v>1.1025</v>
      </c>
      <c r="AF7" s="32" t="n">
        <f aca="false">(1+reajuste)^(AF6-1)</f>
        <v>1.1025</v>
      </c>
      <c r="AG7" s="32" t="n">
        <f aca="false">(1+reajuste)^(AG6-1)</f>
        <v>1.1025</v>
      </c>
      <c r="AH7" s="32" t="n">
        <f aca="false">(1+reajuste)^(AH6-1)</f>
        <v>1.1025</v>
      </c>
      <c r="AI7" s="32" t="n">
        <f aca="false">(1+reajuste)^(AI6-1)</f>
        <v>1.1025</v>
      </c>
      <c r="AJ7" s="32" t="n">
        <f aca="false">(1+reajuste)^(AJ6-1)</f>
        <v>1.1025</v>
      </c>
      <c r="AK7" s="32" t="n">
        <f aca="false">(1+reajuste)^(AK6-1)</f>
        <v>1.1025</v>
      </c>
      <c r="AL7" s="32" t="n">
        <f aca="false">(1+reajuste)^(AL6-1)</f>
        <v>1.1025</v>
      </c>
      <c r="AM7" s="32" t="n">
        <f aca="false">(1+reajuste)^(AM6-1)</f>
        <v>1.157625</v>
      </c>
      <c r="AN7" s="32" t="n">
        <f aca="false">(1+reajuste)^(AN6-1)</f>
        <v>1.157625</v>
      </c>
      <c r="AO7" s="32" t="n">
        <f aca="false">(1+reajuste)^(AO6-1)</f>
        <v>1.157625</v>
      </c>
      <c r="AP7" s="32" t="n">
        <f aca="false">(1+reajuste)^(AP6-1)</f>
        <v>1.157625</v>
      </c>
      <c r="AQ7" s="32" t="n">
        <f aca="false">(1+reajuste)^(AQ6-1)</f>
        <v>1.157625</v>
      </c>
      <c r="AR7" s="32" t="n">
        <f aca="false">(1+reajuste)^(AR6-1)</f>
        <v>1.157625</v>
      </c>
      <c r="AS7" s="32" t="n">
        <f aca="false">(1+reajuste)^(AS6-1)</f>
        <v>1.157625</v>
      </c>
      <c r="AT7" s="32" t="n">
        <f aca="false">(1+reajuste)^(AT6-1)</f>
        <v>1.157625</v>
      </c>
      <c r="AU7" s="32" t="n">
        <f aca="false">(1+reajuste)^(AU6-1)</f>
        <v>1.157625</v>
      </c>
      <c r="AV7" s="32" t="n">
        <f aca="false">(1+reajuste)^(AV6-1)</f>
        <v>1.157625</v>
      </c>
      <c r="AW7" s="32" t="n">
        <f aca="false">(1+reajuste)^(AW6-1)</f>
        <v>1.157625</v>
      </c>
      <c r="AX7" s="32" t="n">
        <f aca="false">(1+reajuste)^(AX6-1)</f>
        <v>1.157625</v>
      </c>
      <c r="AY7" s="32" t="n">
        <f aca="false">(1+reajuste)^(AY6-1)</f>
        <v>1.21550625</v>
      </c>
      <c r="AZ7" s="32" t="n">
        <f aca="false">(1+reajuste)^(AZ6-1)</f>
        <v>1.21550625</v>
      </c>
      <c r="BA7" s="32" t="n">
        <f aca="false">(1+reajuste)^(BA6-1)</f>
        <v>1.21550625</v>
      </c>
      <c r="BB7" s="32" t="n">
        <f aca="false">(1+reajuste)^(BB6-1)</f>
        <v>1.21550625</v>
      </c>
      <c r="BC7" s="32" t="n">
        <f aca="false">(1+reajuste)^(BC6-1)</f>
        <v>1.21550625</v>
      </c>
      <c r="BD7" s="32" t="n">
        <f aca="false">(1+reajuste)^(BD6-1)</f>
        <v>1.21550625</v>
      </c>
      <c r="BE7" s="32" t="n">
        <f aca="false">(1+reajuste)^(BE6-1)</f>
        <v>1.21550625</v>
      </c>
      <c r="BF7" s="32" t="n">
        <f aca="false">(1+reajuste)^(BF6-1)</f>
        <v>1.21550625</v>
      </c>
      <c r="BG7" s="32" t="n">
        <f aca="false">(1+reajuste)^(BG6-1)</f>
        <v>1.21550625</v>
      </c>
      <c r="BH7" s="32" t="n">
        <f aca="false">(1+reajuste)^(BH6-1)</f>
        <v>1.21550625</v>
      </c>
      <c r="BI7" s="32" t="n">
        <f aca="false">(1+reajuste)^(BI6-1)</f>
        <v>1.21550625</v>
      </c>
      <c r="BJ7" s="32" t="n">
        <f aca="false">(1+reajuste)^(BJ6-1)</f>
        <v>1.21550625</v>
      </c>
    </row>
    <row r="8" customFormat="false" ht="15" hidden="false" customHeight="false" outlineLevel="0" collapsed="false">
      <c r="A8" s="7" t="s">
        <v>503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</row>
    <row r="9" customFormat="false" ht="15" hidden="false" customHeight="false" outlineLevel="0" collapsed="false">
      <c r="A9" s="4" t="s">
        <v>504</v>
      </c>
      <c r="B9" s="4" t="s">
        <v>88</v>
      </c>
      <c r="C9" s="20" t="n">
        <f aca="false">IF(C5&lt;launch_month,0,INDEX(new_farms_y,1,C6)*f_new)</f>
        <v>0</v>
      </c>
      <c r="D9" s="20" t="n">
        <f aca="false">IF(D5&lt;launch_month,0,INDEX(new_farms_y,1,D6)*f_new)</f>
        <v>0</v>
      </c>
      <c r="E9" s="20" t="n">
        <f aca="false">IF(E5&lt;launch_month,0,INDEX(new_farms_y,1,E6)*f_new)</f>
        <v>0</v>
      </c>
      <c r="F9" s="20" t="n">
        <f aca="false">IF(F5&lt;launch_month,0,INDEX(new_farms_y,1,F6)*f_new)</f>
        <v>3</v>
      </c>
      <c r="G9" s="20" t="n">
        <f aca="false">IF(G5&lt;launch_month,0,INDEX(new_farms_y,1,G6)*f_new)</f>
        <v>3</v>
      </c>
      <c r="H9" s="20" t="n">
        <f aca="false">IF(H5&lt;launch_month,0,INDEX(new_farms_y,1,H6)*f_new)</f>
        <v>3</v>
      </c>
      <c r="I9" s="20" t="n">
        <f aca="false">IF(I5&lt;launch_month,0,INDEX(new_farms_y,1,I6)*f_new)</f>
        <v>3</v>
      </c>
      <c r="J9" s="20" t="n">
        <f aca="false">IF(J5&lt;launch_month,0,INDEX(new_farms_y,1,J6)*f_new)</f>
        <v>3</v>
      </c>
      <c r="K9" s="20" t="n">
        <f aca="false">IF(K5&lt;launch_month,0,INDEX(new_farms_y,1,K6)*f_new)</f>
        <v>3</v>
      </c>
      <c r="L9" s="20" t="n">
        <f aca="false">IF(L5&lt;launch_month,0,INDEX(new_farms_y,1,L6)*f_new)</f>
        <v>3</v>
      </c>
      <c r="M9" s="20" t="n">
        <f aca="false">IF(M5&lt;launch_month,0,INDEX(new_farms_y,1,M6)*f_new)</f>
        <v>3</v>
      </c>
      <c r="N9" s="20" t="n">
        <f aca="false">IF(N5&lt;launch_month,0,INDEX(new_farms_y,1,N6)*f_new)</f>
        <v>3</v>
      </c>
      <c r="O9" s="20" t="n">
        <f aca="false">IF(O5&lt;launch_month,0,INDEX(new_farms_y,1,O6)*f_new)</f>
        <v>12</v>
      </c>
      <c r="P9" s="20" t="n">
        <f aca="false">IF(P5&lt;launch_month,0,INDEX(new_farms_y,1,P6)*f_new)</f>
        <v>12</v>
      </c>
      <c r="Q9" s="20" t="n">
        <f aca="false">IF(Q5&lt;launch_month,0,INDEX(new_farms_y,1,Q6)*f_new)</f>
        <v>12</v>
      </c>
      <c r="R9" s="20" t="n">
        <f aca="false">IF(R5&lt;launch_month,0,INDEX(new_farms_y,1,R6)*f_new)</f>
        <v>12</v>
      </c>
      <c r="S9" s="20" t="n">
        <f aca="false">IF(S5&lt;launch_month,0,INDEX(new_farms_y,1,S6)*f_new)</f>
        <v>12</v>
      </c>
      <c r="T9" s="20" t="n">
        <f aca="false">IF(T5&lt;launch_month,0,INDEX(new_farms_y,1,T6)*f_new)</f>
        <v>12</v>
      </c>
      <c r="U9" s="20" t="n">
        <f aca="false">IF(U5&lt;launch_month,0,INDEX(new_farms_y,1,U6)*f_new)</f>
        <v>12</v>
      </c>
      <c r="V9" s="20" t="n">
        <f aca="false">IF(V5&lt;launch_month,0,INDEX(new_farms_y,1,V6)*f_new)</f>
        <v>12</v>
      </c>
      <c r="W9" s="20" t="n">
        <f aca="false">IF(W5&lt;launch_month,0,INDEX(new_farms_y,1,W6)*f_new)</f>
        <v>12</v>
      </c>
      <c r="X9" s="20" t="n">
        <f aca="false">IF(X5&lt;launch_month,0,INDEX(new_farms_y,1,X6)*f_new)</f>
        <v>12</v>
      </c>
      <c r="Y9" s="20" t="n">
        <f aca="false">IF(Y5&lt;launch_month,0,INDEX(new_farms_y,1,Y6)*f_new)</f>
        <v>12</v>
      </c>
      <c r="Z9" s="20" t="n">
        <f aca="false">IF(Z5&lt;launch_month,0,INDEX(new_farms_y,1,Z6)*f_new)</f>
        <v>12</v>
      </c>
      <c r="AA9" s="20" t="n">
        <f aca="false">IF(AA5&lt;launch_month,0,INDEX(new_farms_y,1,AA6)*f_new)</f>
        <v>20</v>
      </c>
      <c r="AB9" s="20" t="n">
        <f aca="false">IF(AB5&lt;launch_month,0,INDEX(new_farms_y,1,AB6)*f_new)</f>
        <v>20</v>
      </c>
      <c r="AC9" s="20" t="n">
        <f aca="false">IF(AC5&lt;launch_month,0,INDEX(new_farms_y,1,AC6)*f_new)</f>
        <v>20</v>
      </c>
      <c r="AD9" s="20" t="n">
        <f aca="false">IF(AD5&lt;launch_month,0,INDEX(new_farms_y,1,AD6)*f_new)</f>
        <v>20</v>
      </c>
      <c r="AE9" s="20" t="n">
        <f aca="false">IF(AE5&lt;launch_month,0,INDEX(new_farms_y,1,AE6)*f_new)</f>
        <v>20</v>
      </c>
      <c r="AF9" s="20" t="n">
        <f aca="false">IF(AF5&lt;launch_month,0,INDEX(new_farms_y,1,AF6)*f_new)</f>
        <v>20</v>
      </c>
      <c r="AG9" s="20" t="n">
        <f aca="false">IF(AG5&lt;launch_month,0,INDEX(new_farms_y,1,AG6)*f_new)</f>
        <v>20</v>
      </c>
      <c r="AH9" s="20" t="n">
        <f aca="false">IF(AH5&lt;launch_month,0,INDEX(new_farms_y,1,AH6)*f_new)</f>
        <v>20</v>
      </c>
      <c r="AI9" s="20" t="n">
        <f aca="false">IF(AI5&lt;launch_month,0,INDEX(new_farms_y,1,AI6)*f_new)</f>
        <v>20</v>
      </c>
      <c r="AJ9" s="20" t="n">
        <f aca="false">IF(AJ5&lt;launch_month,0,INDEX(new_farms_y,1,AJ6)*f_new)</f>
        <v>20</v>
      </c>
      <c r="AK9" s="20" t="n">
        <f aca="false">IF(AK5&lt;launch_month,0,INDEX(new_farms_y,1,AK6)*f_new)</f>
        <v>20</v>
      </c>
      <c r="AL9" s="20" t="n">
        <f aca="false">IF(AL5&lt;launch_month,0,INDEX(new_farms_y,1,AL6)*f_new)</f>
        <v>20</v>
      </c>
      <c r="AM9" s="20" t="n">
        <f aca="false">IF(AM5&lt;launch_month,0,INDEX(new_farms_y,1,AM6)*f_new)</f>
        <v>26</v>
      </c>
      <c r="AN9" s="20" t="n">
        <f aca="false">IF(AN5&lt;launch_month,0,INDEX(new_farms_y,1,AN6)*f_new)</f>
        <v>26</v>
      </c>
      <c r="AO9" s="20" t="n">
        <f aca="false">IF(AO5&lt;launch_month,0,INDEX(new_farms_y,1,AO6)*f_new)</f>
        <v>26</v>
      </c>
      <c r="AP9" s="20" t="n">
        <f aca="false">IF(AP5&lt;launch_month,0,INDEX(new_farms_y,1,AP6)*f_new)</f>
        <v>26</v>
      </c>
      <c r="AQ9" s="20" t="n">
        <f aca="false">IF(AQ5&lt;launch_month,0,INDEX(new_farms_y,1,AQ6)*f_new)</f>
        <v>26</v>
      </c>
      <c r="AR9" s="20" t="n">
        <f aca="false">IF(AR5&lt;launch_month,0,INDEX(new_farms_y,1,AR6)*f_new)</f>
        <v>26</v>
      </c>
      <c r="AS9" s="20" t="n">
        <f aca="false">IF(AS5&lt;launch_month,0,INDEX(new_farms_y,1,AS6)*f_new)</f>
        <v>26</v>
      </c>
      <c r="AT9" s="20" t="n">
        <f aca="false">IF(AT5&lt;launch_month,0,INDEX(new_farms_y,1,AT6)*f_new)</f>
        <v>26</v>
      </c>
      <c r="AU9" s="20" t="n">
        <f aca="false">IF(AU5&lt;launch_month,0,INDEX(new_farms_y,1,AU6)*f_new)</f>
        <v>26</v>
      </c>
      <c r="AV9" s="20" t="n">
        <f aca="false">IF(AV5&lt;launch_month,0,INDEX(new_farms_y,1,AV6)*f_new)</f>
        <v>26</v>
      </c>
      <c r="AW9" s="20" t="n">
        <f aca="false">IF(AW5&lt;launch_month,0,INDEX(new_farms_y,1,AW6)*f_new)</f>
        <v>26</v>
      </c>
      <c r="AX9" s="20" t="n">
        <f aca="false">IF(AX5&lt;launch_month,0,INDEX(new_farms_y,1,AX6)*f_new)</f>
        <v>26</v>
      </c>
      <c r="AY9" s="20" t="n">
        <f aca="false">IF(AY5&lt;launch_month,0,INDEX(new_farms_y,1,AY6)*f_new)</f>
        <v>30</v>
      </c>
      <c r="AZ9" s="20" t="n">
        <f aca="false">IF(AZ5&lt;launch_month,0,INDEX(new_farms_y,1,AZ6)*f_new)</f>
        <v>30</v>
      </c>
      <c r="BA9" s="20" t="n">
        <f aca="false">IF(BA5&lt;launch_month,0,INDEX(new_farms_y,1,BA6)*f_new)</f>
        <v>30</v>
      </c>
      <c r="BB9" s="20" t="n">
        <f aca="false">IF(BB5&lt;launch_month,0,INDEX(new_farms_y,1,BB6)*f_new)</f>
        <v>30</v>
      </c>
      <c r="BC9" s="20" t="n">
        <f aca="false">IF(BC5&lt;launch_month,0,INDEX(new_farms_y,1,BC6)*f_new)</f>
        <v>30</v>
      </c>
      <c r="BD9" s="20" t="n">
        <f aca="false">IF(BD5&lt;launch_month,0,INDEX(new_farms_y,1,BD6)*f_new)</f>
        <v>30</v>
      </c>
      <c r="BE9" s="20" t="n">
        <f aca="false">IF(BE5&lt;launch_month,0,INDEX(new_farms_y,1,BE6)*f_new)</f>
        <v>30</v>
      </c>
      <c r="BF9" s="20" t="n">
        <f aca="false">IF(BF5&lt;launch_month,0,INDEX(new_farms_y,1,BF6)*f_new)</f>
        <v>30</v>
      </c>
      <c r="BG9" s="20" t="n">
        <f aca="false">IF(BG5&lt;launch_month,0,INDEX(new_farms_y,1,BG6)*f_new)</f>
        <v>30</v>
      </c>
      <c r="BH9" s="20" t="n">
        <f aca="false">IF(BH5&lt;launch_month,0,INDEX(new_farms_y,1,BH6)*f_new)</f>
        <v>30</v>
      </c>
      <c r="BI9" s="20" t="n">
        <f aca="false">IF(BI5&lt;launch_month,0,INDEX(new_farms_y,1,BI6)*f_new)</f>
        <v>30</v>
      </c>
      <c r="BJ9" s="20" t="n">
        <f aca="false">IF(BJ5&lt;launch_month,0,INDEX(new_farms_y,1,BJ6)*f_new)</f>
        <v>30</v>
      </c>
    </row>
    <row r="10" customFormat="false" ht="15" hidden="false" customHeight="false" outlineLevel="0" collapsed="false">
      <c r="A10" s="4" t="s">
        <v>505</v>
      </c>
      <c r="B10" s="4" t="s">
        <v>88</v>
      </c>
      <c r="C10" s="20" t="n">
        <f aca="false">0</f>
        <v>0</v>
      </c>
      <c r="D10" s="20" t="n">
        <f aca="false">C11*churn_m*f_churn*s_churn</f>
        <v>0</v>
      </c>
      <c r="E10" s="20" t="n">
        <f aca="false">D11*churn_m*f_churn*s_churn</f>
        <v>0</v>
      </c>
      <c r="F10" s="20" t="n">
        <f aca="false">E11*churn_m*f_churn*s_churn</f>
        <v>0</v>
      </c>
      <c r="G10" s="20" t="n">
        <f aca="false">F11*churn_m*f_churn*s_churn</f>
        <v>0.036</v>
      </c>
      <c r="H10" s="20" t="n">
        <f aca="false">G11*churn_m*f_churn*s_churn</f>
        <v>0.071568</v>
      </c>
      <c r="I10" s="20" t="n">
        <f aca="false">H11*churn_m*f_churn*s_churn</f>
        <v>0.106709184</v>
      </c>
      <c r="J10" s="20" t="n">
        <f aca="false">I11*churn_m*f_churn*s_churn</f>
        <v>0.141428673792</v>
      </c>
      <c r="K10" s="20" t="n">
        <f aca="false">J11*churn_m*f_churn*s_churn</f>
        <v>0.175731529706496</v>
      </c>
      <c r="L10" s="20" t="n">
        <f aca="false">K11*churn_m*f_churn*s_churn</f>
        <v>0.209622751350018</v>
      </c>
      <c r="M10" s="20" t="n">
        <f aca="false">L11*churn_m*f_churn*s_churn</f>
        <v>0.243107278333818</v>
      </c>
      <c r="N10" s="20" t="n">
        <f aca="false">M11*churn_m*f_churn*s_churn</f>
        <v>0.276189990993812</v>
      </c>
      <c r="O10" s="20" t="n">
        <f aca="false">N11*churn_m*f_churn*s_churn</f>
        <v>0.308875711101886</v>
      </c>
      <c r="P10" s="20" t="n">
        <f aca="false">O11*churn_m*f_churn*s_churn</f>
        <v>0.449169202568664</v>
      </c>
      <c r="Q10" s="20" t="n">
        <f aca="false">P11*churn_m*f_churn*s_churn</f>
        <v>0.58777917213784</v>
      </c>
      <c r="R10" s="20" t="n">
        <f aca="false">Q11*churn_m*f_churn*s_churn</f>
        <v>0.724725822072186</v>
      </c>
      <c r="S10" s="20" t="n">
        <f aca="false">R11*churn_m*f_churn*s_churn</f>
        <v>0.860029112207319</v>
      </c>
      <c r="T10" s="20" t="n">
        <f aca="false">S11*churn_m*f_churn*s_churn</f>
        <v>0.993708762860832</v>
      </c>
      <c r="U10" s="20" t="n">
        <f aca="false">T11*churn_m*f_churn*s_churn</f>
        <v>1.1257842577065</v>
      </c>
      <c r="V10" s="20" t="n">
        <f aca="false">U11*churn_m*f_churn*s_churn</f>
        <v>1.25627484661402</v>
      </c>
      <c r="W10" s="20" t="n">
        <f aca="false">V11*churn_m*f_churn*s_churn</f>
        <v>1.38519954845466</v>
      </c>
      <c r="X10" s="20" t="n">
        <f aca="false">W11*churn_m*f_churn*s_churn</f>
        <v>1.5125771538732</v>
      </c>
      <c r="Y10" s="20" t="n">
        <f aca="false">X11*churn_m*f_churn*s_churn</f>
        <v>1.63842622802672</v>
      </c>
      <c r="Z10" s="20" t="n">
        <f aca="false">Y11*churn_m*f_churn*s_churn</f>
        <v>1.7627651132904</v>
      </c>
      <c r="AA10" s="20" t="n">
        <f aca="false">Z11*churn_m*f_churn*s_churn</f>
        <v>1.88561193193092</v>
      </c>
      <c r="AB10" s="20" t="n">
        <f aca="false">AA11*churn_m*f_churn*s_churn</f>
        <v>2.10298458874774</v>
      </c>
      <c r="AC10" s="20" t="n">
        <f aca="false">AB11*churn_m*f_churn*s_churn</f>
        <v>2.31774877368277</v>
      </c>
      <c r="AD10" s="20" t="n">
        <f aca="false">AC11*churn_m*f_churn*s_churn</f>
        <v>2.52993578839858</v>
      </c>
      <c r="AE10" s="20" t="n">
        <f aca="false">AD11*churn_m*f_churn*s_churn</f>
        <v>2.7395765589378</v>
      </c>
      <c r="AF10" s="20" t="n">
        <f aca="false">AE11*churn_m*f_churn*s_churn</f>
        <v>2.94670164023054</v>
      </c>
      <c r="AG10" s="20" t="n">
        <f aca="false">AF11*churn_m*f_churn*s_churn</f>
        <v>3.15134122054778</v>
      </c>
      <c r="AH10" s="20" t="n">
        <f aca="false">AG11*churn_m*f_churn*s_churn</f>
        <v>3.3535251259012</v>
      </c>
      <c r="AI10" s="20" t="n">
        <f aca="false">AH11*churn_m*f_churn*s_churn</f>
        <v>3.55328282439039</v>
      </c>
      <c r="AJ10" s="20" t="n">
        <f aca="false">AI11*churn_m*f_churn*s_churn</f>
        <v>3.7506434304977</v>
      </c>
      <c r="AK10" s="20" t="n">
        <f aca="false">AJ11*churn_m*f_churn*s_churn</f>
        <v>3.94563570933173</v>
      </c>
      <c r="AL10" s="20" t="n">
        <f aca="false">AK11*churn_m*f_churn*s_churn</f>
        <v>4.13828808081975</v>
      </c>
      <c r="AM10" s="20" t="n">
        <f aca="false">AL11*churn_m*f_churn*s_churn</f>
        <v>4.32862862384991</v>
      </c>
      <c r="AN10" s="20" t="n">
        <f aca="false">AM11*churn_m*f_churn*s_churn</f>
        <v>4.58868508036372</v>
      </c>
      <c r="AO10" s="20" t="n">
        <f aca="false">AN11*churn_m*f_churn*s_churn</f>
        <v>4.84562085939935</v>
      </c>
      <c r="AP10" s="20" t="n">
        <f aca="false">AO11*churn_m*f_churn*s_churn</f>
        <v>5.09947340908656</v>
      </c>
      <c r="AQ10" s="20" t="n">
        <f aca="false">AP11*churn_m*f_churn*s_churn</f>
        <v>5.35027972817752</v>
      </c>
      <c r="AR10" s="20" t="n">
        <f aca="false">AQ11*churn_m*f_churn*s_churn</f>
        <v>5.59807637143939</v>
      </c>
      <c r="AS10" s="20" t="n">
        <f aca="false">AR11*churn_m*f_churn*s_churn</f>
        <v>5.84289945498212</v>
      </c>
      <c r="AT10" s="20" t="n">
        <f aca="false">AS11*churn_m*f_churn*s_churn</f>
        <v>6.08478466152233</v>
      </c>
      <c r="AU10" s="20" t="n">
        <f aca="false">AT11*churn_m*f_churn*s_churn</f>
        <v>6.32376724558406</v>
      </c>
      <c r="AV10" s="20" t="n">
        <f aca="false">AU11*churn_m*f_churn*s_churn</f>
        <v>6.55988203863706</v>
      </c>
      <c r="AW10" s="20" t="n">
        <f aca="false">AV11*churn_m*f_churn*s_churn</f>
        <v>6.79316345417341</v>
      </c>
      <c r="AX10" s="20" t="n">
        <f aca="false">AW11*churn_m*f_churn*s_churn</f>
        <v>7.02364549272333</v>
      </c>
      <c r="AY10" s="20" t="n">
        <f aca="false">AX11*churn_m*f_churn*s_churn</f>
        <v>7.25136174681065</v>
      </c>
      <c r="AZ10" s="20" t="n">
        <f aca="false">AY11*churn_m*f_churn*s_churn</f>
        <v>7.52434540584892</v>
      </c>
      <c r="BA10" s="20" t="n">
        <f aca="false">AZ11*churn_m*f_churn*s_churn</f>
        <v>7.79405326097874</v>
      </c>
      <c r="BB10" s="20" t="n">
        <f aca="false">BA11*churn_m*f_churn*s_churn</f>
        <v>8.06052462184699</v>
      </c>
      <c r="BC10" s="20" t="n">
        <f aca="false">BB11*churn_m*f_churn*s_churn</f>
        <v>8.32379832638483</v>
      </c>
      <c r="BD10" s="20" t="n">
        <f aca="false">BC11*churn_m*f_churn*s_churn</f>
        <v>8.58391274646821</v>
      </c>
      <c r="BE10" s="20" t="n">
        <f aca="false">BD11*churn_m*f_churn*s_churn</f>
        <v>8.84090579351059</v>
      </c>
      <c r="BF10" s="20" t="n">
        <f aca="false">BE11*churn_m*f_churn*s_churn</f>
        <v>9.09481492398846</v>
      </c>
      <c r="BG10" s="20" t="n">
        <f aca="false">BF11*churn_m*f_churn*s_churn</f>
        <v>9.3456771449006</v>
      </c>
      <c r="BH10" s="20" t="n">
        <f aca="false">BG11*churn_m*f_churn*s_churn</f>
        <v>9.59352901916179</v>
      </c>
      <c r="BI10" s="20" t="n">
        <f aca="false">BH11*churn_m*f_churn*s_churn</f>
        <v>9.83840667093185</v>
      </c>
      <c r="BJ10" s="20" t="n">
        <f aca="false">BI11*churn_m*f_churn*s_churn</f>
        <v>10.0803457908807</v>
      </c>
    </row>
    <row r="11" customFormat="false" ht="15" hidden="false" customHeight="false" outlineLevel="0" collapsed="false">
      <c r="A11" s="5" t="s">
        <v>506</v>
      </c>
      <c r="B11" s="4" t="s">
        <v>88</v>
      </c>
      <c r="C11" s="33" t="n">
        <f aca="false">C9-C10</f>
        <v>0</v>
      </c>
      <c r="D11" s="33" t="n">
        <f aca="false">C11+D9-D10</f>
        <v>0</v>
      </c>
      <c r="E11" s="33" t="n">
        <f aca="false">D11+E9-E10</f>
        <v>0</v>
      </c>
      <c r="F11" s="33" t="n">
        <f aca="false">E11+F9-F10</f>
        <v>3</v>
      </c>
      <c r="G11" s="33" t="n">
        <f aca="false">F11+G9-G10</f>
        <v>5.964</v>
      </c>
      <c r="H11" s="33" t="n">
        <f aca="false">G11+H9-H10</f>
        <v>8.892432</v>
      </c>
      <c r="I11" s="33" t="n">
        <f aca="false">H11+I9-I10</f>
        <v>11.785722816</v>
      </c>
      <c r="J11" s="33" t="n">
        <f aca="false">I11+J9-J10</f>
        <v>14.644294142208</v>
      </c>
      <c r="K11" s="33" t="n">
        <f aca="false">J11+K9-K10</f>
        <v>17.4685626125015</v>
      </c>
      <c r="L11" s="33" t="n">
        <f aca="false">K11+L9-L10</f>
        <v>20.2589398611515</v>
      </c>
      <c r="M11" s="33" t="n">
        <f aca="false">L11+M9-M10</f>
        <v>23.0158325828177</v>
      </c>
      <c r="N11" s="33" t="n">
        <f aca="false">M11+N9-N10</f>
        <v>25.7396425918239</v>
      </c>
      <c r="O11" s="33" t="n">
        <f aca="false">N11+O9-O10</f>
        <v>37.430766880722</v>
      </c>
      <c r="P11" s="33" t="n">
        <f aca="false">O11+P9-P10</f>
        <v>48.9815976781533</v>
      </c>
      <c r="Q11" s="33" t="n">
        <f aca="false">P11+Q9-Q10</f>
        <v>60.3938185060155</v>
      </c>
      <c r="R11" s="33" t="n">
        <f aca="false">Q11+R9-R10</f>
        <v>71.6690926839433</v>
      </c>
      <c r="S11" s="33" t="n">
        <f aca="false">R11+S9-S10</f>
        <v>82.809063571736</v>
      </c>
      <c r="T11" s="33" t="n">
        <f aca="false">S11+T9-T10</f>
        <v>93.8153548088751</v>
      </c>
      <c r="U11" s="33" t="n">
        <f aca="false">T11+U9-U10</f>
        <v>104.689570551169</v>
      </c>
      <c r="V11" s="33" t="n">
        <f aca="false">U11+V9-V10</f>
        <v>115.433295704555</v>
      </c>
      <c r="W11" s="33" t="n">
        <f aca="false">V11+W9-W10</f>
        <v>126.0480961561</v>
      </c>
      <c r="X11" s="33" t="n">
        <f aca="false">W11+X9-X10</f>
        <v>136.535519002227</v>
      </c>
      <c r="Y11" s="33" t="n">
        <f aca="false">X11+Y9-Y10</f>
        <v>146.8970927742</v>
      </c>
      <c r="Z11" s="33" t="n">
        <f aca="false">Y11+Z9-Z10</f>
        <v>157.13432766091</v>
      </c>
      <c r="AA11" s="33" t="n">
        <f aca="false">Z11+AA9-AA10</f>
        <v>175.248715728979</v>
      </c>
      <c r="AB11" s="33" t="n">
        <f aca="false">AA11+AB9-AB10</f>
        <v>193.145731140231</v>
      </c>
      <c r="AC11" s="33" t="n">
        <f aca="false">AB11+AC9-AC10</f>
        <v>210.827982366548</v>
      </c>
      <c r="AD11" s="33" t="n">
        <f aca="false">AC11+AD9-AD10</f>
        <v>228.29804657815</v>
      </c>
      <c r="AE11" s="33" t="n">
        <f aca="false">AD11+AE9-AE10</f>
        <v>245.558470019212</v>
      </c>
      <c r="AF11" s="33" t="n">
        <f aca="false">AE11+AF9-AF10</f>
        <v>262.611768378981</v>
      </c>
      <c r="AG11" s="33" t="n">
        <f aca="false">AF11+AG9-AG10</f>
        <v>279.460427158434</v>
      </c>
      <c r="AH11" s="33" t="n">
        <f aca="false">AG11+AH9-AH10</f>
        <v>296.106902032532</v>
      </c>
      <c r="AI11" s="33" t="n">
        <f aca="false">AH11+AI9-AI10</f>
        <v>312.553619208142</v>
      </c>
      <c r="AJ11" s="33" t="n">
        <f aca="false">AI11+AJ9-AJ10</f>
        <v>328.802975777644</v>
      </c>
      <c r="AK11" s="33" t="n">
        <f aca="false">AJ11+AK9-AK10</f>
        <v>344.857340068313</v>
      </c>
      <c r="AL11" s="33" t="n">
        <f aca="false">AK11+AL9-AL10</f>
        <v>360.719051987493</v>
      </c>
      <c r="AM11" s="33" t="n">
        <f aca="false">AL11+AM9-AM10</f>
        <v>382.390423363643</v>
      </c>
      <c r="AN11" s="33" t="n">
        <f aca="false">AM11+AN9-AN10</f>
        <v>403.801738283279</v>
      </c>
      <c r="AO11" s="33" t="n">
        <f aca="false">AN11+AO9-AO10</f>
        <v>424.95611742388</v>
      </c>
      <c r="AP11" s="33" t="n">
        <f aca="false">AO11+AP9-AP10</f>
        <v>445.856644014793</v>
      </c>
      <c r="AQ11" s="33" t="n">
        <f aca="false">AP11+AQ9-AQ10</f>
        <v>466.506364286616</v>
      </c>
      <c r="AR11" s="33" t="n">
        <f aca="false">AQ11+AR9-AR10</f>
        <v>486.908287915176</v>
      </c>
      <c r="AS11" s="33" t="n">
        <f aca="false">AR11+AS9-AS10</f>
        <v>507.065388460194</v>
      </c>
      <c r="AT11" s="33" t="n">
        <f aca="false">AS11+AT9-AT10</f>
        <v>526.980603798672</v>
      </c>
      <c r="AU11" s="33" t="n">
        <f aca="false">AT11+AU9-AU10</f>
        <v>546.656836553088</v>
      </c>
      <c r="AV11" s="33" t="n">
        <f aca="false">AU11+AV9-AV10</f>
        <v>566.096954514451</v>
      </c>
      <c r="AW11" s="33" t="n">
        <f aca="false">AV11+AW9-AW10</f>
        <v>585.303791060278</v>
      </c>
      <c r="AX11" s="33" t="n">
        <f aca="false">AW11+AX9-AX10</f>
        <v>604.280145567554</v>
      </c>
      <c r="AY11" s="33" t="n">
        <f aca="false">AX11+AY9-AY10</f>
        <v>627.028783820744</v>
      </c>
      <c r="AZ11" s="33" t="n">
        <f aca="false">AY11+AZ9-AZ10</f>
        <v>649.504438414895</v>
      </c>
      <c r="BA11" s="33" t="n">
        <f aca="false">AZ11+BA9-BA10</f>
        <v>671.710385153916</v>
      </c>
      <c r="BB11" s="33" t="n">
        <f aca="false">BA11+BB9-BB10</f>
        <v>693.649860532069</v>
      </c>
      <c r="BC11" s="33" t="n">
        <f aca="false">BB11+BC9-BC10</f>
        <v>715.326062205684</v>
      </c>
      <c r="BD11" s="33" t="n">
        <f aca="false">BC11+BD9-BD10</f>
        <v>736.742149459216</v>
      </c>
      <c r="BE11" s="33" t="n">
        <f aca="false">BD11+BE9-BE10</f>
        <v>757.901243665705</v>
      </c>
      <c r="BF11" s="33" t="n">
        <f aca="false">BE11+BF9-BF10</f>
        <v>778.806428741717</v>
      </c>
      <c r="BG11" s="33" t="n">
        <f aca="false">BF11+BG9-BG10</f>
        <v>799.460751596816</v>
      </c>
      <c r="BH11" s="33" t="n">
        <f aca="false">BG11+BH9-BH10</f>
        <v>819.867222577654</v>
      </c>
      <c r="BI11" s="33" t="n">
        <f aca="false">BH11+BI9-BI10</f>
        <v>840.028815906723</v>
      </c>
      <c r="BJ11" s="33" t="n">
        <f aca="false">BI11+BJ9-BJ10</f>
        <v>859.948470115842</v>
      </c>
    </row>
    <row r="12" customFormat="false" ht="15" hidden="false" customHeight="false" outlineLevel="0" collapsed="false">
      <c r="A12" s="4" t="s">
        <v>507</v>
      </c>
      <c r="B12" s="4" t="s">
        <v>88</v>
      </c>
      <c r="C12" s="20" t="n">
        <f aca="false">C11/2</f>
        <v>0</v>
      </c>
      <c r="D12" s="20" t="n">
        <f aca="false">(C11+D11)/2</f>
        <v>0</v>
      </c>
      <c r="E12" s="20" t="n">
        <f aca="false">(D11+E11)/2</f>
        <v>0</v>
      </c>
      <c r="F12" s="20" t="n">
        <f aca="false">(E11+F11)/2</f>
        <v>1.5</v>
      </c>
      <c r="G12" s="20" t="n">
        <f aca="false">(F11+G11)/2</f>
        <v>4.482</v>
      </c>
      <c r="H12" s="20" t="n">
        <f aca="false">(G11+H11)/2</f>
        <v>7.428216</v>
      </c>
      <c r="I12" s="20" t="n">
        <f aca="false">(H11+I11)/2</f>
        <v>10.339077408</v>
      </c>
      <c r="J12" s="20" t="n">
        <f aca="false">(I11+J11)/2</f>
        <v>13.215008479104</v>
      </c>
      <c r="K12" s="20" t="n">
        <f aca="false">(J11+K11)/2</f>
        <v>16.0564283773548</v>
      </c>
      <c r="L12" s="20" t="n">
        <f aca="false">(K11+L11)/2</f>
        <v>18.8637512368265</v>
      </c>
      <c r="M12" s="20" t="n">
        <f aca="false">(L11+M11)/2</f>
        <v>21.6373862219846</v>
      </c>
      <c r="N12" s="20" t="n">
        <f aca="false">(M11+N11)/2</f>
        <v>24.3777375873208</v>
      </c>
      <c r="O12" s="20" t="n">
        <f aca="false">(N11+O11)/2</f>
        <v>31.5852047362729</v>
      </c>
      <c r="P12" s="20" t="n">
        <f aca="false">(O11+P11)/2</f>
        <v>43.2061822794376</v>
      </c>
      <c r="Q12" s="20" t="n">
        <f aca="false">(P11+Q11)/2</f>
        <v>54.6877080920844</v>
      </c>
      <c r="R12" s="20" t="n">
        <f aca="false">(Q11+R11)/2</f>
        <v>66.0314555949794</v>
      </c>
      <c r="S12" s="20" t="n">
        <f aca="false">(R11+S11)/2</f>
        <v>77.2390781278396</v>
      </c>
      <c r="T12" s="20" t="n">
        <f aca="false">(S11+T11)/2</f>
        <v>88.3122091903055</v>
      </c>
      <c r="U12" s="20" t="n">
        <f aca="false">(T11+U11)/2</f>
        <v>99.2524626800219</v>
      </c>
      <c r="V12" s="20" t="n">
        <f aca="false">(U11+V11)/2</f>
        <v>110.061433127862</v>
      </c>
      <c r="W12" s="20" t="n">
        <f aca="false">(V11+W11)/2</f>
        <v>120.740695930327</v>
      </c>
      <c r="X12" s="20" t="n">
        <f aca="false">(W11+X11)/2</f>
        <v>131.291807579163</v>
      </c>
      <c r="Y12" s="20" t="n">
        <f aca="false">(X11+Y11)/2</f>
        <v>141.716305888213</v>
      </c>
      <c r="Z12" s="20" t="n">
        <f aca="false">(Y11+Z11)/2</f>
        <v>152.015710217555</v>
      </c>
      <c r="AA12" s="20" t="n">
        <f aca="false">(Z11+AA11)/2</f>
        <v>166.191521694944</v>
      </c>
      <c r="AB12" s="20" t="n">
        <f aca="false">(AA11+AB11)/2</f>
        <v>184.197223434605</v>
      </c>
      <c r="AC12" s="20" t="n">
        <f aca="false">(AB11+AC11)/2</f>
        <v>201.98685675339</v>
      </c>
      <c r="AD12" s="20" t="n">
        <f aca="false">(AC11+AD11)/2</f>
        <v>219.563014472349</v>
      </c>
      <c r="AE12" s="20" t="n">
        <f aca="false">(AD11+AE11)/2</f>
        <v>236.928258298681</v>
      </c>
      <c r="AF12" s="20" t="n">
        <f aca="false">(AE11+AF11)/2</f>
        <v>254.085119199097</v>
      </c>
      <c r="AG12" s="20" t="n">
        <f aca="false">(AF11+AG11)/2</f>
        <v>271.036097768707</v>
      </c>
      <c r="AH12" s="20" t="n">
        <f aca="false">(AG11+AH11)/2</f>
        <v>287.783664595483</v>
      </c>
      <c r="AI12" s="20" t="n">
        <f aca="false">(AH11+AI11)/2</f>
        <v>304.330260620337</v>
      </c>
      <c r="AJ12" s="20" t="n">
        <f aca="false">(AI11+AJ11)/2</f>
        <v>320.678297492893</v>
      </c>
      <c r="AK12" s="20" t="n">
        <f aca="false">(AJ11+AK11)/2</f>
        <v>336.830157922978</v>
      </c>
      <c r="AL12" s="20" t="n">
        <f aca="false">(AK11+AL11)/2</f>
        <v>352.788196027903</v>
      </c>
      <c r="AM12" s="20" t="n">
        <f aca="false">(AL11+AM11)/2</f>
        <v>371.554737675568</v>
      </c>
      <c r="AN12" s="20" t="n">
        <f aca="false">(AM11+AN11)/2</f>
        <v>393.096080823461</v>
      </c>
      <c r="AO12" s="20" t="n">
        <f aca="false">(AN11+AO11)/2</f>
        <v>414.37892785358</v>
      </c>
      <c r="AP12" s="20" t="n">
        <f aca="false">(AO11+AP11)/2</f>
        <v>435.406380719337</v>
      </c>
      <c r="AQ12" s="20" t="n">
        <f aca="false">(AP11+AQ11)/2</f>
        <v>456.181504150705</v>
      </c>
      <c r="AR12" s="20" t="n">
        <f aca="false">(AQ11+AR11)/2</f>
        <v>476.707326100896</v>
      </c>
      <c r="AS12" s="20" t="n">
        <f aca="false">(AR11+AS11)/2</f>
        <v>496.986838187685</v>
      </c>
      <c r="AT12" s="20" t="n">
        <f aca="false">(AS11+AT11)/2</f>
        <v>517.022996129433</v>
      </c>
      <c r="AU12" s="20" t="n">
        <f aca="false">(AT11+AU11)/2</f>
        <v>536.81872017588</v>
      </c>
      <c r="AV12" s="20" t="n">
        <f aca="false">(AU11+AV11)/2</f>
        <v>556.376895533769</v>
      </c>
      <c r="AW12" s="20" t="n">
        <f aca="false">(AV11+AW11)/2</f>
        <v>575.700372787364</v>
      </c>
      <c r="AX12" s="20" t="n">
        <f aca="false">(AW11+AX11)/2</f>
        <v>594.791968313916</v>
      </c>
      <c r="AY12" s="20" t="n">
        <f aca="false">(AX11+AY11)/2</f>
        <v>615.654464694149</v>
      </c>
      <c r="AZ12" s="20" t="n">
        <f aca="false">(AY11+AZ11)/2</f>
        <v>638.266611117819</v>
      </c>
      <c r="BA12" s="20" t="n">
        <f aca="false">(AZ11+BA11)/2</f>
        <v>660.607411784405</v>
      </c>
      <c r="BB12" s="20" t="n">
        <f aca="false">(BA11+BB11)/2</f>
        <v>682.680122842992</v>
      </c>
      <c r="BC12" s="20" t="n">
        <f aca="false">(BB11+BC11)/2</f>
        <v>704.487961368876</v>
      </c>
      <c r="BD12" s="20" t="n">
        <f aca="false">(BC11+BD11)/2</f>
        <v>726.03410583245</v>
      </c>
      <c r="BE12" s="20" t="n">
        <f aca="false">(BD11+BE11)/2</f>
        <v>747.321696562461</v>
      </c>
      <c r="BF12" s="20" t="n">
        <f aca="false">(BE11+BF11)/2</f>
        <v>768.353836203711</v>
      </c>
      <c r="BG12" s="20" t="n">
        <f aca="false">(BF11+BG11)/2</f>
        <v>789.133590169266</v>
      </c>
      <c r="BH12" s="20" t="n">
        <f aca="false">(BG11+BH11)/2</f>
        <v>809.663987087235</v>
      </c>
      <c r="BI12" s="20" t="n">
        <f aca="false">(BH11+BI11)/2</f>
        <v>829.948019242189</v>
      </c>
      <c r="BJ12" s="20" t="n">
        <f aca="false">(BI11+BJ11)/2</f>
        <v>849.988643011282</v>
      </c>
    </row>
    <row r="13" customFormat="false" ht="15" hidden="false" customHeight="false" outlineLevel="0" collapsed="false">
      <c r="A13" s="4" t="s">
        <v>508</v>
      </c>
      <c r="B13" s="4" t="s">
        <v>51</v>
      </c>
      <c r="C13" s="19" t="n">
        <f aca="false">C11*herd_avg</f>
        <v>0</v>
      </c>
      <c r="D13" s="19" t="n">
        <f aca="false">D11*herd_avg</f>
        <v>0</v>
      </c>
      <c r="E13" s="19" t="n">
        <f aca="false">E11*herd_avg</f>
        <v>0</v>
      </c>
      <c r="F13" s="19" t="n">
        <f aca="false">F11*herd_avg</f>
        <v>510</v>
      </c>
      <c r="G13" s="19" t="n">
        <f aca="false">G11*herd_avg</f>
        <v>1013.88</v>
      </c>
      <c r="H13" s="19" t="n">
        <f aca="false">H11*herd_avg</f>
        <v>1511.71344</v>
      </c>
      <c r="I13" s="19" t="n">
        <f aca="false">I11*herd_avg</f>
        <v>2003.57287872</v>
      </c>
      <c r="J13" s="19" t="n">
        <f aca="false">J11*herd_avg</f>
        <v>2489.53000417536</v>
      </c>
      <c r="K13" s="19" t="n">
        <f aca="false">K11*herd_avg</f>
        <v>2969.65564412526</v>
      </c>
      <c r="L13" s="19" t="n">
        <f aca="false">L11*herd_avg</f>
        <v>3444.01977639575</v>
      </c>
      <c r="M13" s="19" t="n">
        <f aca="false">M11*herd_avg</f>
        <v>3912.691539079</v>
      </c>
      <c r="N13" s="19" t="n">
        <f aca="false">N11*herd_avg</f>
        <v>4375.73924061006</v>
      </c>
      <c r="O13" s="19" t="n">
        <f aca="false">O11*herd_avg</f>
        <v>6363.23036972274</v>
      </c>
      <c r="P13" s="19" t="n">
        <f aca="false">P11*herd_avg</f>
        <v>8326.87160528606</v>
      </c>
      <c r="Q13" s="19" t="n">
        <f aca="false">Q11*herd_avg</f>
        <v>10266.9491460226</v>
      </c>
      <c r="R13" s="19" t="n">
        <f aca="false">R11*herd_avg</f>
        <v>12183.7457562704</v>
      </c>
      <c r="S13" s="19" t="n">
        <f aca="false">S11*herd_avg</f>
        <v>14077.5408071951</v>
      </c>
      <c r="T13" s="19" t="n">
        <f aca="false">T11*herd_avg</f>
        <v>15948.6103175088</v>
      </c>
      <c r="U13" s="19" t="n">
        <f aca="false">U11*herd_avg</f>
        <v>17797.2269936987</v>
      </c>
      <c r="V13" s="19" t="n">
        <f aca="false">V11*herd_avg</f>
        <v>19623.6602697743</v>
      </c>
      <c r="W13" s="19" t="n">
        <f aca="false">W11*herd_avg</f>
        <v>21428.176346537</v>
      </c>
      <c r="X13" s="19" t="n">
        <f aca="false">X11*herd_avg</f>
        <v>23211.0382303786</v>
      </c>
      <c r="Y13" s="19" t="n">
        <f aca="false">Y11*herd_avg</f>
        <v>24972.505771614</v>
      </c>
      <c r="Z13" s="19" t="n">
        <f aca="false">Z11*herd_avg</f>
        <v>26712.8357023546</v>
      </c>
      <c r="AA13" s="19" t="n">
        <f aca="false">AA11*herd_avg</f>
        <v>29792.2816739264</v>
      </c>
      <c r="AB13" s="19" t="n">
        <f aca="false">AB11*herd_avg</f>
        <v>32834.7742938393</v>
      </c>
      <c r="AC13" s="19" t="n">
        <f aca="false">AC11*herd_avg</f>
        <v>35840.7570023132</v>
      </c>
      <c r="AD13" s="19" t="n">
        <f aca="false">AD11*herd_avg</f>
        <v>38810.6679182854</v>
      </c>
      <c r="AE13" s="19" t="n">
        <f aca="false">AE11*herd_avg</f>
        <v>41744.939903266</v>
      </c>
      <c r="AF13" s="19" t="n">
        <f aca="false">AF11*herd_avg</f>
        <v>44644.0006244268</v>
      </c>
      <c r="AG13" s="19" t="n">
        <f aca="false">AG11*herd_avg</f>
        <v>47508.2726169337</v>
      </c>
      <c r="AH13" s="19" t="n">
        <f aca="false">AH11*herd_avg</f>
        <v>50338.1733455305</v>
      </c>
      <c r="AI13" s="19" t="n">
        <f aca="false">AI11*herd_avg</f>
        <v>53134.1152653841</v>
      </c>
      <c r="AJ13" s="19" t="n">
        <f aca="false">AJ11*herd_avg</f>
        <v>55896.5058821995</v>
      </c>
      <c r="AK13" s="19" t="n">
        <f aca="false">AK11*herd_avg</f>
        <v>58625.7478116131</v>
      </c>
      <c r="AL13" s="19" t="n">
        <f aca="false">AL11*herd_avg</f>
        <v>61322.2388378738</v>
      </c>
      <c r="AM13" s="19" t="n">
        <f aca="false">AM11*herd_avg</f>
        <v>65006.3719718193</v>
      </c>
      <c r="AN13" s="19" t="n">
        <f aca="false">AN11*herd_avg</f>
        <v>68646.2955081575</v>
      </c>
      <c r="AO13" s="19" t="n">
        <f aca="false">AO11*herd_avg</f>
        <v>72242.5399620596</v>
      </c>
      <c r="AP13" s="19" t="n">
        <f aca="false">AP11*herd_avg</f>
        <v>75795.6294825149</v>
      </c>
      <c r="AQ13" s="19" t="n">
        <f aca="false">AQ11*herd_avg</f>
        <v>79306.0819287247</v>
      </c>
      <c r="AR13" s="19" t="n">
        <f aca="false">AR11*herd_avg</f>
        <v>82774.40894558</v>
      </c>
      <c r="AS13" s="19" t="n">
        <f aca="false">AS11*herd_avg</f>
        <v>86201.116038233</v>
      </c>
      <c r="AT13" s="19" t="n">
        <f aca="false">AT11*herd_avg</f>
        <v>89586.7026457742</v>
      </c>
      <c r="AU13" s="19" t="n">
        <f aca="false">AU11*herd_avg</f>
        <v>92931.662214025</v>
      </c>
      <c r="AV13" s="19" t="n">
        <f aca="false">AV11*herd_avg</f>
        <v>96236.4822674567</v>
      </c>
      <c r="AW13" s="19" t="n">
        <f aca="false">AW11*herd_avg</f>
        <v>99501.6444802472</v>
      </c>
      <c r="AX13" s="19" t="n">
        <f aca="false">AX11*herd_avg</f>
        <v>102727.624746484</v>
      </c>
      <c r="AY13" s="19" t="n">
        <f aca="false">AY11*herd_avg</f>
        <v>106594.893249526</v>
      </c>
      <c r="AZ13" s="19" t="n">
        <f aca="false">AZ11*herd_avg</f>
        <v>110415.754530532</v>
      </c>
      <c r="BA13" s="19" t="n">
        <f aca="false">BA11*herd_avg</f>
        <v>114190.765476166</v>
      </c>
      <c r="BB13" s="19" t="n">
        <f aca="false">BB11*herd_avg</f>
        <v>117920.476290452</v>
      </c>
      <c r="BC13" s="19" t="n">
        <f aca="false">BC11*herd_avg</f>
        <v>121605.430574966</v>
      </c>
      <c r="BD13" s="19" t="n">
        <f aca="false">BD11*herd_avg</f>
        <v>125246.165408067</v>
      </c>
      <c r="BE13" s="19" t="n">
        <f aca="false">BE11*herd_avg</f>
        <v>128843.21142317</v>
      </c>
      <c r="BF13" s="19" t="n">
        <f aca="false">BF11*herd_avg</f>
        <v>132397.092886092</v>
      </c>
      <c r="BG13" s="19" t="n">
        <f aca="false">BG11*herd_avg</f>
        <v>135908.327771459</v>
      </c>
      <c r="BH13" s="19" t="n">
        <f aca="false">BH11*herd_avg</f>
        <v>139377.427838201</v>
      </c>
      <c r="BI13" s="19" t="n">
        <f aca="false">BI11*herd_avg</f>
        <v>142804.898704143</v>
      </c>
      <c r="BJ13" s="19" t="n">
        <f aca="false">BJ11*herd_avg</f>
        <v>146191.239919693</v>
      </c>
    </row>
    <row r="14" customFormat="false" ht="15" hidden="false" customHeight="false" outlineLevel="0" collapsed="false">
      <c r="A14" s="4" t="s">
        <v>509</v>
      </c>
      <c r="B14" s="4" t="s">
        <v>510</v>
      </c>
      <c r="C14" s="20" t="n">
        <f aca="false">IF(C5&lt;=12,0,INDEX(new_cons_y,1,C6))</f>
        <v>0</v>
      </c>
      <c r="D14" s="20" t="n">
        <f aca="false">C14+IF(D5&lt;=12,0,INDEX(new_cons_y,1,D6))</f>
        <v>0</v>
      </c>
      <c r="E14" s="20" t="n">
        <f aca="false">D14+IF(E5&lt;=12,0,INDEX(new_cons_y,1,E6))</f>
        <v>0</v>
      </c>
      <c r="F14" s="20" t="n">
        <f aca="false">E14+IF(F5&lt;=12,0,INDEX(new_cons_y,1,F6))</f>
        <v>0</v>
      </c>
      <c r="G14" s="20" t="n">
        <f aca="false">F14+IF(G5&lt;=12,0,INDEX(new_cons_y,1,G6))</f>
        <v>0</v>
      </c>
      <c r="H14" s="20" t="n">
        <f aca="false">G14+IF(H5&lt;=12,0,INDEX(new_cons_y,1,H6))</f>
        <v>0</v>
      </c>
      <c r="I14" s="20" t="n">
        <f aca="false">H14+IF(I5&lt;=12,0,INDEX(new_cons_y,1,I6))</f>
        <v>0</v>
      </c>
      <c r="J14" s="20" t="n">
        <f aca="false">I14+IF(J5&lt;=12,0,INDEX(new_cons_y,1,J6))</f>
        <v>0</v>
      </c>
      <c r="K14" s="20" t="n">
        <f aca="false">J14+IF(K5&lt;=12,0,INDEX(new_cons_y,1,K6))</f>
        <v>0</v>
      </c>
      <c r="L14" s="20" t="n">
        <f aca="false">K14+IF(L5&lt;=12,0,INDEX(new_cons_y,1,L6))</f>
        <v>0</v>
      </c>
      <c r="M14" s="20" t="n">
        <f aca="false">L14+IF(M5&lt;=12,0,INDEX(new_cons_y,1,M6))</f>
        <v>0</v>
      </c>
      <c r="N14" s="20" t="n">
        <f aca="false">M14+IF(N5&lt;=12,0,INDEX(new_cons_y,1,N6))</f>
        <v>0</v>
      </c>
      <c r="O14" s="20" t="n">
        <f aca="false">N14+IF(O5&lt;=12,0,INDEX(new_cons_y,1,O6))</f>
        <v>1</v>
      </c>
      <c r="P14" s="20" t="n">
        <f aca="false">O14+IF(P5&lt;=12,0,INDEX(new_cons_y,1,P6))</f>
        <v>2</v>
      </c>
      <c r="Q14" s="20" t="n">
        <f aca="false">P14+IF(Q5&lt;=12,0,INDEX(new_cons_y,1,Q6))</f>
        <v>3</v>
      </c>
      <c r="R14" s="20" t="n">
        <f aca="false">Q14+IF(R5&lt;=12,0,INDEX(new_cons_y,1,R6))</f>
        <v>4</v>
      </c>
      <c r="S14" s="20" t="n">
        <f aca="false">R14+IF(S5&lt;=12,0,INDEX(new_cons_y,1,S6))</f>
        <v>5</v>
      </c>
      <c r="T14" s="20" t="n">
        <f aca="false">S14+IF(T5&lt;=12,0,INDEX(new_cons_y,1,T6))</f>
        <v>6</v>
      </c>
      <c r="U14" s="20" t="n">
        <f aca="false">T14+IF(U5&lt;=12,0,INDEX(new_cons_y,1,U6))</f>
        <v>7</v>
      </c>
      <c r="V14" s="20" t="n">
        <f aca="false">U14+IF(V5&lt;=12,0,INDEX(new_cons_y,1,V6))</f>
        <v>8</v>
      </c>
      <c r="W14" s="20" t="n">
        <f aca="false">V14+IF(W5&lt;=12,0,INDEX(new_cons_y,1,W6))</f>
        <v>9</v>
      </c>
      <c r="X14" s="20" t="n">
        <f aca="false">W14+IF(X5&lt;=12,0,INDEX(new_cons_y,1,X6))</f>
        <v>10</v>
      </c>
      <c r="Y14" s="20" t="n">
        <f aca="false">X14+IF(Y5&lt;=12,0,INDEX(new_cons_y,1,Y6))</f>
        <v>11</v>
      </c>
      <c r="Z14" s="20" t="n">
        <f aca="false">Y14+IF(Z5&lt;=12,0,INDEX(new_cons_y,1,Z6))</f>
        <v>12</v>
      </c>
      <c r="AA14" s="20" t="n">
        <f aca="false">Z14+IF(AA5&lt;=12,0,INDEX(new_cons_y,1,AA6))</f>
        <v>14</v>
      </c>
      <c r="AB14" s="20" t="n">
        <f aca="false">AA14+IF(AB5&lt;=12,0,INDEX(new_cons_y,1,AB6))</f>
        <v>16</v>
      </c>
      <c r="AC14" s="20" t="n">
        <f aca="false">AB14+IF(AC5&lt;=12,0,INDEX(new_cons_y,1,AC6))</f>
        <v>18</v>
      </c>
      <c r="AD14" s="20" t="n">
        <f aca="false">AC14+IF(AD5&lt;=12,0,INDEX(new_cons_y,1,AD6))</f>
        <v>20</v>
      </c>
      <c r="AE14" s="20" t="n">
        <f aca="false">AD14+IF(AE5&lt;=12,0,INDEX(new_cons_y,1,AE6))</f>
        <v>22</v>
      </c>
      <c r="AF14" s="20" t="n">
        <f aca="false">AE14+IF(AF5&lt;=12,0,INDEX(new_cons_y,1,AF6))</f>
        <v>24</v>
      </c>
      <c r="AG14" s="20" t="n">
        <f aca="false">AF14+IF(AG5&lt;=12,0,INDEX(new_cons_y,1,AG6))</f>
        <v>26</v>
      </c>
      <c r="AH14" s="20" t="n">
        <f aca="false">AG14+IF(AH5&lt;=12,0,INDEX(new_cons_y,1,AH6))</f>
        <v>28</v>
      </c>
      <c r="AI14" s="20" t="n">
        <f aca="false">AH14+IF(AI5&lt;=12,0,INDEX(new_cons_y,1,AI6))</f>
        <v>30</v>
      </c>
      <c r="AJ14" s="20" t="n">
        <f aca="false">AI14+IF(AJ5&lt;=12,0,INDEX(new_cons_y,1,AJ6))</f>
        <v>32</v>
      </c>
      <c r="AK14" s="20" t="n">
        <f aca="false">AJ14+IF(AK5&lt;=12,0,INDEX(new_cons_y,1,AK6))</f>
        <v>34</v>
      </c>
      <c r="AL14" s="20" t="n">
        <f aca="false">AK14+IF(AL5&lt;=12,0,INDEX(new_cons_y,1,AL6))</f>
        <v>36</v>
      </c>
      <c r="AM14" s="20" t="n">
        <f aca="false">AL14+IF(AM5&lt;=12,0,INDEX(new_cons_y,1,AM6))</f>
        <v>39</v>
      </c>
      <c r="AN14" s="20" t="n">
        <f aca="false">AM14+IF(AN5&lt;=12,0,INDEX(new_cons_y,1,AN6))</f>
        <v>42</v>
      </c>
      <c r="AO14" s="20" t="n">
        <f aca="false">AN14+IF(AO5&lt;=12,0,INDEX(new_cons_y,1,AO6))</f>
        <v>45</v>
      </c>
      <c r="AP14" s="20" t="n">
        <f aca="false">AO14+IF(AP5&lt;=12,0,INDEX(new_cons_y,1,AP6))</f>
        <v>48</v>
      </c>
      <c r="AQ14" s="20" t="n">
        <f aca="false">AP14+IF(AQ5&lt;=12,0,INDEX(new_cons_y,1,AQ6))</f>
        <v>51</v>
      </c>
      <c r="AR14" s="20" t="n">
        <f aca="false">AQ14+IF(AR5&lt;=12,0,INDEX(new_cons_y,1,AR6))</f>
        <v>54</v>
      </c>
      <c r="AS14" s="20" t="n">
        <f aca="false">AR14+IF(AS5&lt;=12,0,INDEX(new_cons_y,1,AS6))</f>
        <v>57</v>
      </c>
      <c r="AT14" s="20" t="n">
        <f aca="false">AS14+IF(AT5&lt;=12,0,INDEX(new_cons_y,1,AT6))</f>
        <v>60</v>
      </c>
      <c r="AU14" s="20" t="n">
        <f aca="false">AT14+IF(AU5&lt;=12,0,INDEX(new_cons_y,1,AU6))</f>
        <v>63</v>
      </c>
      <c r="AV14" s="20" t="n">
        <f aca="false">AU14+IF(AV5&lt;=12,0,INDEX(new_cons_y,1,AV6))</f>
        <v>66</v>
      </c>
      <c r="AW14" s="20" t="n">
        <f aca="false">AV14+IF(AW5&lt;=12,0,INDEX(new_cons_y,1,AW6))</f>
        <v>69</v>
      </c>
      <c r="AX14" s="20" t="n">
        <f aca="false">AW14+IF(AX5&lt;=12,0,INDEX(new_cons_y,1,AX6))</f>
        <v>72</v>
      </c>
      <c r="AY14" s="20" t="n">
        <f aca="false">AX14+IF(AY5&lt;=12,0,INDEX(new_cons_y,1,AY6))</f>
        <v>76</v>
      </c>
      <c r="AZ14" s="20" t="n">
        <f aca="false">AY14+IF(AZ5&lt;=12,0,INDEX(new_cons_y,1,AZ6))</f>
        <v>80</v>
      </c>
      <c r="BA14" s="20" t="n">
        <f aca="false">AZ14+IF(BA5&lt;=12,0,INDEX(new_cons_y,1,BA6))</f>
        <v>84</v>
      </c>
      <c r="BB14" s="20" t="n">
        <f aca="false">BA14+IF(BB5&lt;=12,0,INDEX(new_cons_y,1,BB6))</f>
        <v>88</v>
      </c>
      <c r="BC14" s="20" t="n">
        <f aca="false">BB14+IF(BC5&lt;=12,0,INDEX(new_cons_y,1,BC6))</f>
        <v>92</v>
      </c>
      <c r="BD14" s="20" t="n">
        <f aca="false">BC14+IF(BD5&lt;=12,0,INDEX(new_cons_y,1,BD6))</f>
        <v>96</v>
      </c>
      <c r="BE14" s="20" t="n">
        <f aca="false">BD14+IF(BE5&lt;=12,0,INDEX(new_cons_y,1,BE6))</f>
        <v>100</v>
      </c>
      <c r="BF14" s="20" t="n">
        <f aca="false">BE14+IF(BF5&lt;=12,0,INDEX(new_cons_y,1,BF6))</f>
        <v>104</v>
      </c>
      <c r="BG14" s="20" t="n">
        <f aca="false">BF14+IF(BG5&lt;=12,0,INDEX(new_cons_y,1,BG6))</f>
        <v>108</v>
      </c>
      <c r="BH14" s="20" t="n">
        <f aca="false">BG14+IF(BH5&lt;=12,0,INDEX(new_cons_y,1,BH6))</f>
        <v>112</v>
      </c>
      <c r="BI14" s="20" t="n">
        <f aca="false">BH14+IF(BI5&lt;=12,0,INDEX(new_cons_y,1,BI6))</f>
        <v>116</v>
      </c>
      <c r="BJ14" s="20" t="n">
        <f aca="false">BI14+IF(BJ5&lt;=12,0,INDEX(new_cons_y,1,BJ6))</f>
        <v>120</v>
      </c>
    </row>
    <row r="15" customFormat="false" ht="15" hidden="false" customHeight="false" outlineLevel="0" collapsed="false">
      <c r="A15" s="4" t="s">
        <v>511</v>
      </c>
      <c r="B15" s="4" t="s">
        <v>67</v>
      </c>
      <c r="C15" s="19" t="n">
        <f aca="false">arpa_base*C7*f_price*s_price</f>
        <v>1252</v>
      </c>
      <c r="D15" s="19" t="n">
        <f aca="false">arpa_base*D7*f_price*s_price</f>
        <v>1252</v>
      </c>
      <c r="E15" s="19" t="n">
        <f aca="false">arpa_base*E7*f_price*s_price</f>
        <v>1252</v>
      </c>
      <c r="F15" s="19" t="n">
        <f aca="false">arpa_base*F7*f_price*s_price</f>
        <v>1252</v>
      </c>
      <c r="G15" s="19" t="n">
        <f aca="false">arpa_base*G7*f_price*s_price</f>
        <v>1252</v>
      </c>
      <c r="H15" s="19" t="n">
        <f aca="false">arpa_base*H7*f_price*s_price</f>
        <v>1252</v>
      </c>
      <c r="I15" s="19" t="n">
        <f aca="false">arpa_base*I7*f_price*s_price</f>
        <v>1252</v>
      </c>
      <c r="J15" s="19" t="n">
        <f aca="false">arpa_base*J7*f_price*s_price</f>
        <v>1252</v>
      </c>
      <c r="K15" s="19" t="n">
        <f aca="false">arpa_base*K7*f_price*s_price</f>
        <v>1252</v>
      </c>
      <c r="L15" s="19" t="n">
        <f aca="false">arpa_base*L7*f_price*s_price</f>
        <v>1252</v>
      </c>
      <c r="M15" s="19" t="n">
        <f aca="false">arpa_base*M7*f_price*s_price</f>
        <v>1252</v>
      </c>
      <c r="N15" s="19" t="n">
        <f aca="false">arpa_base*N7*f_price*s_price</f>
        <v>1252</v>
      </c>
      <c r="O15" s="19" t="n">
        <f aca="false">arpa_base*O7*f_price*s_price</f>
        <v>1314.6</v>
      </c>
      <c r="P15" s="19" t="n">
        <f aca="false">arpa_base*P7*f_price*s_price</f>
        <v>1314.6</v>
      </c>
      <c r="Q15" s="19" t="n">
        <f aca="false">arpa_base*Q7*f_price*s_price</f>
        <v>1314.6</v>
      </c>
      <c r="R15" s="19" t="n">
        <f aca="false">arpa_base*R7*f_price*s_price</f>
        <v>1314.6</v>
      </c>
      <c r="S15" s="19" t="n">
        <f aca="false">arpa_base*S7*f_price*s_price</f>
        <v>1314.6</v>
      </c>
      <c r="T15" s="19" t="n">
        <f aca="false">arpa_base*T7*f_price*s_price</f>
        <v>1314.6</v>
      </c>
      <c r="U15" s="19" t="n">
        <f aca="false">arpa_base*U7*f_price*s_price</f>
        <v>1314.6</v>
      </c>
      <c r="V15" s="19" t="n">
        <f aca="false">arpa_base*V7*f_price*s_price</f>
        <v>1314.6</v>
      </c>
      <c r="W15" s="19" t="n">
        <f aca="false">arpa_base*W7*f_price*s_price</f>
        <v>1314.6</v>
      </c>
      <c r="X15" s="19" t="n">
        <f aca="false">arpa_base*X7*f_price*s_price</f>
        <v>1314.6</v>
      </c>
      <c r="Y15" s="19" t="n">
        <f aca="false">arpa_base*Y7*f_price*s_price</f>
        <v>1314.6</v>
      </c>
      <c r="Z15" s="19" t="n">
        <f aca="false">arpa_base*Z7*f_price*s_price</f>
        <v>1314.6</v>
      </c>
      <c r="AA15" s="19" t="n">
        <f aca="false">arpa_base*AA7*f_price*s_price</f>
        <v>1380.33</v>
      </c>
      <c r="AB15" s="19" t="n">
        <f aca="false">arpa_base*AB7*f_price*s_price</f>
        <v>1380.33</v>
      </c>
      <c r="AC15" s="19" t="n">
        <f aca="false">arpa_base*AC7*f_price*s_price</f>
        <v>1380.33</v>
      </c>
      <c r="AD15" s="19" t="n">
        <f aca="false">arpa_base*AD7*f_price*s_price</f>
        <v>1380.33</v>
      </c>
      <c r="AE15" s="19" t="n">
        <f aca="false">arpa_base*AE7*f_price*s_price</f>
        <v>1380.33</v>
      </c>
      <c r="AF15" s="19" t="n">
        <f aca="false">arpa_base*AF7*f_price*s_price</f>
        <v>1380.33</v>
      </c>
      <c r="AG15" s="19" t="n">
        <f aca="false">arpa_base*AG7*f_price*s_price</f>
        <v>1380.33</v>
      </c>
      <c r="AH15" s="19" t="n">
        <f aca="false">arpa_base*AH7*f_price*s_price</f>
        <v>1380.33</v>
      </c>
      <c r="AI15" s="19" t="n">
        <f aca="false">arpa_base*AI7*f_price*s_price</f>
        <v>1380.33</v>
      </c>
      <c r="AJ15" s="19" t="n">
        <f aca="false">arpa_base*AJ7*f_price*s_price</f>
        <v>1380.33</v>
      </c>
      <c r="AK15" s="19" t="n">
        <f aca="false">arpa_base*AK7*f_price*s_price</f>
        <v>1380.33</v>
      </c>
      <c r="AL15" s="19" t="n">
        <f aca="false">arpa_base*AL7*f_price*s_price</f>
        <v>1380.33</v>
      </c>
      <c r="AM15" s="19" t="n">
        <f aca="false">arpa_base*AM7*f_price*s_price</f>
        <v>1449.3465</v>
      </c>
      <c r="AN15" s="19" t="n">
        <f aca="false">arpa_base*AN7*f_price*s_price</f>
        <v>1449.3465</v>
      </c>
      <c r="AO15" s="19" t="n">
        <f aca="false">arpa_base*AO7*f_price*s_price</f>
        <v>1449.3465</v>
      </c>
      <c r="AP15" s="19" t="n">
        <f aca="false">arpa_base*AP7*f_price*s_price</f>
        <v>1449.3465</v>
      </c>
      <c r="AQ15" s="19" t="n">
        <f aca="false">arpa_base*AQ7*f_price*s_price</f>
        <v>1449.3465</v>
      </c>
      <c r="AR15" s="19" t="n">
        <f aca="false">arpa_base*AR7*f_price*s_price</f>
        <v>1449.3465</v>
      </c>
      <c r="AS15" s="19" t="n">
        <f aca="false">arpa_base*AS7*f_price*s_price</f>
        <v>1449.3465</v>
      </c>
      <c r="AT15" s="19" t="n">
        <f aca="false">arpa_base*AT7*f_price*s_price</f>
        <v>1449.3465</v>
      </c>
      <c r="AU15" s="19" t="n">
        <f aca="false">arpa_base*AU7*f_price*s_price</f>
        <v>1449.3465</v>
      </c>
      <c r="AV15" s="19" t="n">
        <f aca="false">arpa_base*AV7*f_price*s_price</f>
        <v>1449.3465</v>
      </c>
      <c r="AW15" s="19" t="n">
        <f aca="false">arpa_base*AW7*f_price*s_price</f>
        <v>1449.3465</v>
      </c>
      <c r="AX15" s="19" t="n">
        <f aca="false">arpa_base*AX7*f_price*s_price</f>
        <v>1449.3465</v>
      </c>
      <c r="AY15" s="19" t="n">
        <f aca="false">arpa_base*AY7*f_price*s_price</f>
        <v>1521.813825</v>
      </c>
      <c r="AZ15" s="19" t="n">
        <f aca="false">arpa_base*AZ7*f_price*s_price</f>
        <v>1521.813825</v>
      </c>
      <c r="BA15" s="19" t="n">
        <f aca="false">arpa_base*BA7*f_price*s_price</f>
        <v>1521.813825</v>
      </c>
      <c r="BB15" s="19" t="n">
        <f aca="false">arpa_base*BB7*f_price*s_price</f>
        <v>1521.813825</v>
      </c>
      <c r="BC15" s="19" t="n">
        <f aca="false">arpa_base*BC7*f_price*s_price</f>
        <v>1521.813825</v>
      </c>
      <c r="BD15" s="19" t="n">
        <f aca="false">arpa_base*BD7*f_price*s_price</f>
        <v>1521.813825</v>
      </c>
      <c r="BE15" s="19" t="n">
        <f aca="false">arpa_base*BE7*f_price*s_price</f>
        <v>1521.813825</v>
      </c>
      <c r="BF15" s="19" t="n">
        <f aca="false">arpa_base*BF7*f_price*s_price</f>
        <v>1521.813825</v>
      </c>
      <c r="BG15" s="19" t="n">
        <f aca="false">arpa_base*BG7*f_price*s_price</f>
        <v>1521.813825</v>
      </c>
      <c r="BH15" s="19" t="n">
        <f aca="false">arpa_base*BH7*f_price*s_price</f>
        <v>1521.813825</v>
      </c>
      <c r="BI15" s="19" t="n">
        <f aca="false">arpa_base*BI7*f_price*s_price</f>
        <v>1521.813825</v>
      </c>
      <c r="BJ15" s="19" t="n">
        <f aca="false">arpa_base*BJ7*f_price*s_price</f>
        <v>1521.813825</v>
      </c>
    </row>
    <row r="16" customFormat="false" ht="15" hidden="false" customHeight="false" outlineLevel="0" collapsed="false">
      <c r="A16" s="7" t="s">
        <v>216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</row>
    <row r="17" customFormat="false" ht="15" hidden="false" customHeight="false" outlineLevel="0" collapsed="false">
      <c r="A17" s="4" t="s">
        <v>512</v>
      </c>
      <c r="B17" s="4" t="s">
        <v>67</v>
      </c>
      <c r="C17" s="19" t="n">
        <f aca="false">C12*C15</f>
        <v>0</v>
      </c>
      <c r="D17" s="19" t="n">
        <f aca="false">D12*D15</f>
        <v>0</v>
      </c>
      <c r="E17" s="19" t="n">
        <f aca="false">E12*E15</f>
        <v>0</v>
      </c>
      <c r="F17" s="19" t="n">
        <f aca="false">F12*F15</f>
        <v>1878</v>
      </c>
      <c r="G17" s="19" t="n">
        <f aca="false">G12*G15</f>
        <v>5611.464</v>
      </c>
      <c r="H17" s="19" t="n">
        <f aca="false">H12*H15</f>
        <v>9300.126432</v>
      </c>
      <c r="I17" s="19" t="n">
        <f aca="false">I12*I15</f>
        <v>12944.524914816</v>
      </c>
      <c r="J17" s="19" t="n">
        <f aca="false">J12*J15</f>
        <v>16545.1906158382</v>
      </c>
      <c r="K17" s="19" t="n">
        <f aca="false">K12*K15</f>
        <v>20102.6483284482</v>
      </c>
      <c r="L17" s="19" t="n">
        <f aca="false">L12*L15</f>
        <v>23617.4165485068</v>
      </c>
      <c r="M17" s="19" t="n">
        <f aca="false">M12*M15</f>
        <v>27090.0075499247</v>
      </c>
      <c r="N17" s="19" t="n">
        <f aca="false">N12*N15</f>
        <v>30520.9274593256</v>
      </c>
      <c r="O17" s="19" t="n">
        <f aca="false">O12*O15</f>
        <v>41521.9101463044</v>
      </c>
      <c r="P17" s="19" t="n">
        <f aca="false">P12*P15</f>
        <v>56798.8472245487</v>
      </c>
      <c r="Q17" s="19" t="n">
        <f aca="false">Q12*Q15</f>
        <v>71892.4610578542</v>
      </c>
      <c r="R17" s="19" t="n">
        <f aca="false">R12*R15</f>
        <v>86804.9515251599</v>
      </c>
      <c r="S17" s="19" t="n">
        <f aca="false">S12*S15</f>
        <v>101538.492106858</v>
      </c>
      <c r="T17" s="19" t="n">
        <f aca="false">T12*T15</f>
        <v>116095.230201576</v>
      </c>
      <c r="U17" s="19" t="n">
        <f aca="false">U12*U15</f>
        <v>130477.287439157</v>
      </c>
      <c r="V17" s="19" t="n">
        <f aca="false">V12*V15</f>
        <v>144686.759989887</v>
      </c>
      <c r="W17" s="19" t="n">
        <f aca="false">W12*W15</f>
        <v>158725.718870008</v>
      </c>
      <c r="X17" s="19" t="n">
        <f aca="false">X12*X15</f>
        <v>172596.210243568</v>
      </c>
      <c r="Y17" s="19" t="n">
        <f aca="false">Y12*Y15</f>
        <v>186300.255720645</v>
      </c>
      <c r="Z17" s="19" t="n">
        <f aca="false">Z12*Z15</f>
        <v>199839.852651998</v>
      </c>
      <c r="AA17" s="19" t="n">
        <f aca="false">AA12*AA15</f>
        <v>229399.143141182</v>
      </c>
      <c r="AB17" s="19" t="n">
        <f aca="false">AB12*AB15</f>
        <v>254252.953423488</v>
      </c>
      <c r="AC17" s="19" t="n">
        <f aca="false">AC12*AC15</f>
        <v>278808.517982406</v>
      </c>
      <c r="AD17" s="19" t="n">
        <f aca="false">AD12*AD15</f>
        <v>303069.415766617</v>
      </c>
      <c r="AE17" s="19" t="n">
        <f aca="false">AE12*AE15</f>
        <v>327039.182777418</v>
      </c>
      <c r="AF17" s="19" t="n">
        <f aca="false">AF12*AF15</f>
        <v>350721.312584089</v>
      </c>
      <c r="AG17" s="19" t="n">
        <f aca="false">AG12*AG15</f>
        <v>374119.25683308</v>
      </c>
      <c r="AH17" s="19" t="n">
        <f aca="false">AH12*AH15</f>
        <v>397236.425751083</v>
      </c>
      <c r="AI17" s="19" t="n">
        <f aca="false">AI12*AI15</f>
        <v>420076.18864207</v>
      </c>
      <c r="AJ17" s="19" t="n">
        <f aca="false">AJ12*AJ15</f>
        <v>442641.874378365</v>
      </c>
      <c r="AK17" s="19" t="n">
        <f aca="false">AK12*AK15</f>
        <v>464936.771885825</v>
      </c>
      <c r="AL17" s="19" t="n">
        <f aca="false">AL12*AL15</f>
        <v>486964.130623195</v>
      </c>
      <c r="AM17" s="19" t="n">
        <f aca="false">AM12*AM15</f>
        <v>538511.558608502</v>
      </c>
      <c r="AN17" s="19" t="n">
        <f aca="false">AN12*AN15</f>
        <v>569732.4289052</v>
      </c>
      <c r="AO17" s="19" t="n">
        <f aca="false">AO12*AO15</f>
        <v>600578.648758338</v>
      </c>
      <c r="AP17" s="19" t="n">
        <f aca="false">AP12*AP15</f>
        <v>631054.713973238</v>
      </c>
      <c r="AQ17" s="19" t="n">
        <f aca="false">AQ12*AQ15</f>
        <v>661165.066405559</v>
      </c>
      <c r="AR17" s="19" t="n">
        <f aca="false">AR12*AR15</f>
        <v>690914.094608693</v>
      </c>
      <c r="AS17" s="19" t="n">
        <f aca="false">AS12*AS15</f>
        <v>720306.134473388</v>
      </c>
      <c r="AT17" s="19" t="n">
        <f aca="false">AT12*AT15</f>
        <v>749345.469859707</v>
      </c>
      <c r="AU17" s="19" t="n">
        <f aca="false">AU12*AU15</f>
        <v>778036.333221391</v>
      </c>
      <c r="AV17" s="19" t="n">
        <f aca="false">AV12*AV15</f>
        <v>806382.906222734</v>
      </c>
      <c r="AW17" s="19" t="n">
        <f aca="false">AW12*AW15</f>
        <v>834389.320348062</v>
      </c>
      <c r="AX17" s="19" t="n">
        <f aca="false">AX12*AX15</f>
        <v>862059.657503885</v>
      </c>
      <c r="AY17" s="19" t="n">
        <f aca="false">AY12*AY15</f>
        <v>936911.47579453</v>
      </c>
      <c r="AZ17" s="19" t="n">
        <f aca="false">AZ12*AZ15</f>
        <v>971322.952834996</v>
      </c>
      <c r="BA17" s="19" t="n">
        <f aca="false">BA12*BA15</f>
        <v>1005321.49215098</v>
      </c>
      <c r="BB17" s="19" t="n">
        <f aca="false">BB12*BB15</f>
        <v>1038912.04899516</v>
      </c>
      <c r="BC17" s="19" t="n">
        <f aca="false">BC12*BC15</f>
        <v>1072099.51915722</v>
      </c>
      <c r="BD17" s="19" t="n">
        <f aca="false">BD12*BD15</f>
        <v>1104888.73967734</v>
      </c>
      <c r="BE17" s="19" t="n">
        <f aca="false">BE12*BE15</f>
        <v>1137284.48955121</v>
      </c>
      <c r="BF17" s="19" t="n">
        <f aca="false">BF12*BF15</f>
        <v>1169291.49042659</v>
      </c>
      <c r="BG17" s="19" t="n">
        <f aca="false">BG12*BG15</f>
        <v>1200914.40729147</v>
      </c>
      <c r="BH17" s="19" t="n">
        <f aca="false">BH12*BH15</f>
        <v>1232157.84915398</v>
      </c>
      <c r="BI17" s="19" t="n">
        <f aca="false">BI12*BI15</f>
        <v>1263026.36971413</v>
      </c>
      <c r="BJ17" s="19" t="n">
        <f aca="false">BJ12*BJ15</f>
        <v>1293524.46802756</v>
      </c>
    </row>
    <row r="18" customFormat="false" ht="15" hidden="false" customHeight="false" outlineLevel="0" collapsed="false">
      <c r="A18" s="4" t="s">
        <v>513</v>
      </c>
      <c r="B18" s="4" t="s">
        <v>67</v>
      </c>
      <c r="C18" s="19" t="n">
        <f aca="false">C9*setup_avg*C7*f_price*s_price</f>
        <v>0</v>
      </c>
      <c r="D18" s="19" t="n">
        <f aca="false">D9*setup_avg*D7*f_price*s_price</f>
        <v>0</v>
      </c>
      <c r="E18" s="19" t="n">
        <f aca="false">E9*setup_avg*E7*f_price*s_price</f>
        <v>0</v>
      </c>
      <c r="F18" s="19" t="n">
        <f aca="false">F9*setup_avg*F7*f_price*s_price</f>
        <v>7152</v>
      </c>
      <c r="G18" s="19" t="n">
        <f aca="false">G9*setup_avg*G7*f_price*s_price</f>
        <v>7152</v>
      </c>
      <c r="H18" s="19" t="n">
        <f aca="false">H9*setup_avg*H7*f_price*s_price</f>
        <v>7152</v>
      </c>
      <c r="I18" s="19" t="n">
        <f aca="false">I9*setup_avg*I7*f_price*s_price</f>
        <v>7152</v>
      </c>
      <c r="J18" s="19" t="n">
        <f aca="false">J9*setup_avg*J7*f_price*s_price</f>
        <v>7152</v>
      </c>
      <c r="K18" s="19" t="n">
        <f aca="false">K9*setup_avg*K7*f_price*s_price</f>
        <v>7152</v>
      </c>
      <c r="L18" s="19" t="n">
        <f aca="false">L9*setup_avg*L7*f_price*s_price</f>
        <v>7152</v>
      </c>
      <c r="M18" s="19" t="n">
        <f aca="false">M9*setup_avg*M7*f_price*s_price</f>
        <v>7152</v>
      </c>
      <c r="N18" s="19" t="n">
        <f aca="false">N9*setup_avg*N7*f_price*s_price</f>
        <v>7152</v>
      </c>
      <c r="O18" s="19" t="n">
        <f aca="false">O9*setup_avg*O7*f_price*s_price</f>
        <v>30038.4</v>
      </c>
      <c r="P18" s="19" t="n">
        <f aca="false">P9*setup_avg*P7*f_price*s_price</f>
        <v>30038.4</v>
      </c>
      <c r="Q18" s="19" t="n">
        <f aca="false">Q9*setup_avg*Q7*f_price*s_price</f>
        <v>30038.4</v>
      </c>
      <c r="R18" s="19" t="n">
        <f aca="false">R9*setup_avg*R7*f_price*s_price</f>
        <v>30038.4</v>
      </c>
      <c r="S18" s="19" t="n">
        <f aca="false">S9*setup_avg*S7*f_price*s_price</f>
        <v>30038.4</v>
      </c>
      <c r="T18" s="19" t="n">
        <f aca="false">T9*setup_avg*T7*f_price*s_price</f>
        <v>30038.4</v>
      </c>
      <c r="U18" s="19" t="n">
        <f aca="false">U9*setup_avg*U7*f_price*s_price</f>
        <v>30038.4</v>
      </c>
      <c r="V18" s="19" t="n">
        <f aca="false">V9*setup_avg*V7*f_price*s_price</f>
        <v>30038.4</v>
      </c>
      <c r="W18" s="19" t="n">
        <f aca="false">W9*setup_avg*W7*f_price*s_price</f>
        <v>30038.4</v>
      </c>
      <c r="X18" s="19" t="n">
        <f aca="false">X9*setup_avg*X7*f_price*s_price</f>
        <v>30038.4</v>
      </c>
      <c r="Y18" s="19" t="n">
        <f aca="false">Y9*setup_avg*Y7*f_price*s_price</f>
        <v>30038.4</v>
      </c>
      <c r="Z18" s="19" t="n">
        <f aca="false">Z9*setup_avg*Z7*f_price*s_price</f>
        <v>30038.4</v>
      </c>
      <c r="AA18" s="19" t="n">
        <f aca="false">AA9*setup_avg*AA7*f_price*s_price</f>
        <v>52567.2</v>
      </c>
      <c r="AB18" s="19" t="n">
        <f aca="false">AB9*setup_avg*AB7*f_price*s_price</f>
        <v>52567.2</v>
      </c>
      <c r="AC18" s="19" t="n">
        <f aca="false">AC9*setup_avg*AC7*f_price*s_price</f>
        <v>52567.2</v>
      </c>
      <c r="AD18" s="19" t="n">
        <f aca="false">AD9*setup_avg*AD7*f_price*s_price</f>
        <v>52567.2</v>
      </c>
      <c r="AE18" s="19" t="n">
        <f aca="false">AE9*setup_avg*AE7*f_price*s_price</f>
        <v>52567.2</v>
      </c>
      <c r="AF18" s="19" t="n">
        <f aca="false">AF9*setup_avg*AF7*f_price*s_price</f>
        <v>52567.2</v>
      </c>
      <c r="AG18" s="19" t="n">
        <f aca="false">AG9*setup_avg*AG7*f_price*s_price</f>
        <v>52567.2</v>
      </c>
      <c r="AH18" s="19" t="n">
        <f aca="false">AH9*setup_avg*AH7*f_price*s_price</f>
        <v>52567.2</v>
      </c>
      <c r="AI18" s="19" t="n">
        <f aca="false">AI9*setup_avg*AI7*f_price*s_price</f>
        <v>52567.2</v>
      </c>
      <c r="AJ18" s="19" t="n">
        <f aca="false">AJ9*setup_avg*AJ7*f_price*s_price</f>
        <v>52567.2</v>
      </c>
      <c r="AK18" s="19" t="n">
        <f aca="false">AK9*setup_avg*AK7*f_price*s_price</f>
        <v>52567.2</v>
      </c>
      <c r="AL18" s="19" t="n">
        <f aca="false">AL9*setup_avg*AL7*f_price*s_price</f>
        <v>52567.2</v>
      </c>
      <c r="AM18" s="19" t="n">
        <f aca="false">AM9*setup_avg*AM7*f_price*s_price</f>
        <v>71754.228</v>
      </c>
      <c r="AN18" s="19" t="n">
        <f aca="false">AN9*setup_avg*AN7*f_price*s_price</f>
        <v>71754.228</v>
      </c>
      <c r="AO18" s="19" t="n">
        <f aca="false">AO9*setup_avg*AO7*f_price*s_price</f>
        <v>71754.228</v>
      </c>
      <c r="AP18" s="19" t="n">
        <f aca="false">AP9*setup_avg*AP7*f_price*s_price</f>
        <v>71754.228</v>
      </c>
      <c r="AQ18" s="19" t="n">
        <f aca="false">AQ9*setup_avg*AQ7*f_price*s_price</f>
        <v>71754.228</v>
      </c>
      <c r="AR18" s="19" t="n">
        <f aca="false">AR9*setup_avg*AR7*f_price*s_price</f>
        <v>71754.228</v>
      </c>
      <c r="AS18" s="19" t="n">
        <f aca="false">AS9*setup_avg*AS7*f_price*s_price</f>
        <v>71754.228</v>
      </c>
      <c r="AT18" s="19" t="n">
        <f aca="false">AT9*setup_avg*AT7*f_price*s_price</f>
        <v>71754.228</v>
      </c>
      <c r="AU18" s="19" t="n">
        <f aca="false">AU9*setup_avg*AU7*f_price*s_price</f>
        <v>71754.228</v>
      </c>
      <c r="AV18" s="19" t="n">
        <f aca="false">AV9*setup_avg*AV7*f_price*s_price</f>
        <v>71754.228</v>
      </c>
      <c r="AW18" s="19" t="n">
        <f aca="false">AW9*setup_avg*AW7*f_price*s_price</f>
        <v>71754.228</v>
      </c>
      <c r="AX18" s="19" t="n">
        <f aca="false">AX9*setup_avg*AX7*f_price*s_price</f>
        <v>71754.228</v>
      </c>
      <c r="AY18" s="19" t="n">
        <f aca="false">AY9*setup_avg*AY7*f_price*s_price</f>
        <v>86933.007</v>
      </c>
      <c r="AZ18" s="19" t="n">
        <f aca="false">AZ9*setup_avg*AZ7*f_price*s_price</f>
        <v>86933.007</v>
      </c>
      <c r="BA18" s="19" t="n">
        <f aca="false">BA9*setup_avg*BA7*f_price*s_price</f>
        <v>86933.007</v>
      </c>
      <c r="BB18" s="19" t="n">
        <f aca="false">BB9*setup_avg*BB7*f_price*s_price</f>
        <v>86933.007</v>
      </c>
      <c r="BC18" s="19" t="n">
        <f aca="false">BC9*setup_avg*BC7*f_price*s_price</f>
        <v>86933.007</v>
      </c>
      <c r="BD18" s="19" t="n">
        <f aca="false">BD9*setup_avg*BD7*f_price*s_price</f>
        <v>86933.007</v>
      </c>
      <c r="BE18" s="19" t="n">
        <f aca="false">BE9*setup_avg*BE7*f_price*s_price</f>
        <v>86933.007</v>
      </c>
      <c r="BF18" s="19" t="n">
        <f aca="false">BF9*setup_avg*BF7*f_price*s_price</f>
        <v>86933.007</v>
      </c>
      <c r="BG18" s="19" t="n">
        <f aca="false">BG9*setup_avg*BG7*f_price*s_price</f>
        <v>86933.007</v>
      </c>
      <c r="BH18" s="19" t="n">
        <f aca="false">BH9*setup_avg*BH7*f_price*s_price</f>
        <v>86933.007</v>
      </c>
      <c r="BI18" s="19" t="n">
        <f aca="false">BI9*setup_avg*BI7*f_price*s_price</f>
        <v>86933.007</v>
      </c>
      <c r="BJ18" s="19" t="n">
        <f aca="false">BJ9*setup_avg*BJ7*f_price*s_price</f>
        <v>86933.007</v>
      </c>
    </row>
    <row r="19" customFormat="false" ht="15" hidden="false" customHeight="false" outlineLevel="0" collapsed="false">
      <c r="A19" s="4" t="s">
        <v>211</v>
      </c>
      <c r="B19" s="4" t="s">
        <v>67</v>
      </c>
      <c r="C19" s="19" t="n">
        <f aca="false">C12*INDEX(adopt_mod_y,1,C6)*price_mod*C7</f>
        <v>0</v>
      </c>
      <c r="D19" s="19" t="n">
        <f aca="false">D12*INDEX(adopt_mod_y,1,D6)*price_mod*D7</f>
        <v>0</v>
      </c>
      <c r="E19" s="19" t="n">
        <f aca="false">E12*INDEX(adopt_mod_y,1,E6)*price_mod*E7</f>
        <v>0</v>
      </c>
      <c r="F19" s="19" t="n">
        <f aca="false">F12*INDEX(adopt_mod_y,1,F6)*price_mod*F7</f>
        <v>0</v>
      </c>
      <c r="G19" s="19" t="n">
        <f aca="false">G12*INDEX(adopt_mod_y,1,G6)*price_mod*G7</f>
        <v>0</v>
      </c>
      <c r="H19" s="19" t="n">
        <f aca="false">H12*INDEX(adopt_mod_y,1,H6)*price_mod*H7</f>
        <v>0</v>
      </c>
      <c r="I19" s="19" t="n">
        <f aca="false">I12*INDEX(adopt_mod_y,1,I6)*price_mod*I7</f>
        <v>0</v>
      </c>
      <c r="J19" s="19" t="n">
        <f aca="false">J12*INDEX(adopt_mod_y,1,J6)*price_mod*J7</f>
        <v>0</v>
      </c>
      <c r="K19" s="19" t="n">
        <f aca="false">K12*INDEX(adopt_mod_y,1,K6)*price_mod*K7</f>
        <v>0</v>
      </c>
      <c r="L19" s="19" t="n">
        <f aca="false">L12*INDEX(adopt_mod_y,1,L6)*price_mod*L7</f>
        <v>0</v>
      </c>
      <c r="M19" s="19" t="n">
        <f aca="false">M12*INDEX(adopt_mod_y,1,M6)*price_mod*M7</f>
        <v>0</v>
      </c>
      <c r="N19" s="19" t="n">
        <f aca="false">N12*INDEX(adopt_mod_y,1,N6)*price_mod*N7</f>
        <v>0</v>
      </c>
      <c r="O19" s="19" t="n">
        <f aca="false">O12*INDEX(adopt_mod_y,1,O6)*price_mod*O7</f>
        <v>1160.75627405803</v>
      </c>
      <c r="P19" s="19" t="n">
        <f aca="false">P12*INDEX(adopt_mod_y,1,P6)*price_mod*P7</f>
        <v>1587.82719876933</v>
      </c>
      <c r="Q19" s="19" t="n">
        <f aca="false">Q12*INDEX(adopt_mod_y,1,Q6)*price_mod*Q7</f>
        <v>2009.7732723841</v>
      </c>
      <c r="R19" s="19" t="n">
        <f aca="false">R12*INDEX(adopt_mod_y,1,R6)*price_mod*R7</f>
        <v>2426.65599311549</v>
      </c>
      <c r="S19" s="19" t="n">
        <f aca="false">S12*INDEX(adopt_mod_y,1,S6)*price_mod*S7</f>
        <v>2838.53612119811</v>
      </c>
      <c r="T19" s="19" t="n">
        <f aca="false">T12*INDEX(adopt_mod_y,1,T6)*price_mod*T7</f>
        <v>3245.47368774373</v>
      </c>
      <c r="U19" s="19" t="n">
        <f aca="false">U12*INDEX(adopt_mod_y,1,U6)*price_mod*U7</f>
        <v>3647.5280034908</v>
      </c>
      <c r="V19" s="19" t="n">
        <f aca="false">V12*INDEX(adopt_mod_y,1,V6)*price_mod*V7</f>
        <v>4044.75766744892</v>
      </c>
      <c r="W19" s="19" t="n">
        <f aca="false">W12*INDEX(adopt_mod_y,1,W6)*price_mod*W7</f>
        <v>4437.22057543953</v>
      </c>
      <c r="X19" s="19" t="n">
        <f aca="false">X12*INDEX(adopt_mod_y,1,X6)*price_mod*X7</f>
        <v>4824.97392853425</v>
      </c>
      <c r="Y19" s="19" t="n">
        <f aca="false">Y12*INDEX(adopt_mod_y,1,Y6)*price_mod*Y7</f>
        <v>5208.07424139184</v>
      </c>
      <c r="Z19" s="19" t="n">
        <f aca="false">Z12*INDEX(adopt_mod_y,1,Z6)*price_mod*Z7</f>
        <v>5586.57735049514</v>
      </c>
      <c r="AA19" s="19" t="n">
        <f aca="false">AA12*INDEX(adopt_mod_y,1,AA6)*price_mod*AA7</f>
        <v>11543.2476181266</v>
      </c>
      <c r="AB19" s="19" t="n">
        <f aca="false">AB12*INDEX(adopt_mod_y,1,AB6)*price_mod*AB7</f>
        <v>12793.8786467091</v>
      </c>
      <c r="AC19" s="19" t="n">
        <f aca="false">AC12*INDEX(adopt_mod_y,1,AC6)*price_mod*AC7</f>
        <v>14029.5021029486</v>
      </c>
      <c r="AD19" s="19" t="n">
        <f aca="false">AD12*INDEX(adopt_mod_y,1,AD6)*price_mod*AD7</f>
        <v>15250.2980777132</v>
      </c>
      <c r="AE19" s="19" t="n">
        <f aca="false">AE12*INDEX(adopt_mod_y,1,AE6)*price_mod*AE7</f>
        <v>16456.4445007806</v>
      </c>
      <c r="AF19" s="19" t="n">
        <f aca="false">AF12*INDEX(adopt_mod_y,1,AF6)*price_mod*AF7</f>
        <v>17648.1171667713</v>
      </c>
      <c r="AG19" s="19" t="n">
        <f aca="false">AG12*INDEX(adopt_mod_y,1,AG6)*price_mod*AG7</f>
        <v>18825.48976077</v>
      </c>
      <c r="AH19" s="19" t="n">
        <f aca="false">AH12*INDEX(adopt_mod_y,1,AH6)*price_mod*AH7</f>
        <v>19988.7338836408</v>
      </c>
      <c r="AI19" s="19" t="n">
        <f aca="false">AI12*INDEX(adopt_mod_y,1,AI6)*price_mod*AI7</f>
        <v>21138.0190770371</v>
      </c>
      <c r="AJ19" s="19" t="n">
        <f aca="false">AJ12*INDEX(adopt_mod_y,1,AJ6)*price_mod*AJ7</f>
        <v>22273.5128481126</v>
      </c>
      <c r="AK19" s="19" t="n">
        <f aca="false">AK12*INDEX(adopt_mod_y,1,AK6)*price_mod*AK7</f>
        <v>23395.3806939353</v>
      </c>
      <c r="AL19" s="19" t="n">
        <f aca="false">AL12*INDEX(adopt_mod_y,1,AL6)*price_mod*AL7</f>
        <v>24503.786125608</v>
      </c>
      <c r="AM19" s="19" t="n">
        <f aca="false">AM12*INDEX(adopt_mod_y,1,AM6)*price_mod*AM7</f>
        <v>37635.5921551469</v>
      </c>
      <c r="AN19" s="19" t="n">
        <f aca="false">AN12*INDEX(adopt_mod_y,1,AN6)*price_mod*AN7</f>
        <v>39817.5619242852</v>
      </c>
      <c r="AO19" s="19" t="n">
        <f aca="false">AO12*INDEX(adopt_mod_y,1,AO6)*price_mod*AO7</f>
        <v>41973.3480561938</v>
      </c>
      <c r="AP19" s="19" t="n">
        <f aca="false">AP12*INDEX(adopt_mod_y,1,AP6)*price_mod*AP7</f>
        <v>44103.2647545194</v>
      </c>
      <c r="AQ19" s="19" t="n">
        <f aca="false">AQ12*INDEX(adopt_mod_y,1,AQ6)*price_mod*AQ7</f>
        <v>46207.6224524652</v>
      </c>
      <c r="AR19" s="19" t="n">
        <f aca="false">AR12*INDEX(adopt_mod_y,1,AR6)*price_mod*AR7</f>
        <v>48286.7278580356</v>
      </c>
      <c r="AS19" s="19" t="n">
        <f aca="false">AS12*INDEX(adopt_mod_y,1,AS6)*price_mod*AS7</f>
        <v>50340.8839987392</v>
      </c>
      <c r="AT19" s="19" t="n">
        <f aca="false">AT12*INDEX(adopt_mod_y,1,AT6)*price_mod*AT7</f>
        <v>52370.3902657543</v>
      </c>
      <c r="AU19" s="19" t="n">
        <f aca="false">AU12*INDEX(adopt_mod_y,1,AU6)*price_mod*AU7</f>
        <v>54375.5424575653</v>
      </c>
      <c r="AV19" s="19" t="n">
        <f aca="false">AV12*INDEX(adopt_mod_y,1,AV6)*price_mod*AV7</f>
        <v>56356.6328230745</v>
      </c>
      <c r="AW19" s="19" t="n">
        <f aca="false">AW12*INDEX(adopt_mod_y,1,AW6)*price_mod*AW7</f>
        <v>58313.9501041976</v>
      </c>
      <c r="AX19" s="19" t="n">
        <f aca="false">AX12*INDEX(adopt_mod_y,1,AX6)*price_mod*AX7</f>
        <v>60247.7795779472</v>
      </c>
      <c r="AY19" s="19" t="n">
        <f aca="false">AY12*INDEX(adopt_mod_y,1,AY6)*price_mod*AY7</f>
        <v>78574.844215995</v>
      </c>
      <c r="AZ19" s="19" t="n">
        <f aca="false">AZ12*INDEX(adopt_mod_y,1,AZ6)*price_mod*AZ7</f>
        <v>81460.790772903</v>
      </c>
      <c r="BA19" s="19" t="n">
        <f aca="false">BA12*INDEX(adopt_mod_y,1,BA6)*price_mod*BA7</f>
        <v>84312.1059711282</v>
      </c>
      <c r="BB19" s="19" t="n">
        <f aca="false">BB12*INDEX(adopt_mod_y,1,BB6)*price_mod*BB7</f>
        <v>87129.2053869746</v>
      </c>
      <c r="BC19" s="19" t="n">
        <f aca="false">BC12*INDEX(adopt_mod_y,1,BC6)*price_mod*BC7</f>
        <v>89912.4996098309</v>
      </c>
      <c r="BD19" s="19" t="n">
        <f aca="false">BD12*INDEX(adopt_mod_y,1,BD6)*price_mod*BD7</f>
        <v>92662.394302013</v>
      </c>
      <c r="BE19" s="19" t="n">
        <f aca="false">BE12*INDEX(adopt_mod_y,1,BE6)*price_mod*BE7</f>
        <v>95379.2902578888</v>
      </c>
      <c r="BF19" s="19" t="n">
        <f aca="false">BF12*INDEX(adopt_mod_y,1,BF6)*price_mod*BF7</f>
        <v>98063.5834622942</v>
      </c>
      <c r="BG19" s="19" t="n">
        <f aca="false">BG12*INDEX(adopt_mod_y,1,BG6)*price_mod*BG7</f>
        <v>100715.665148247</v>
      </c>
      <c r="BH19" s="19" t="n">
        <f aca="false">BH12*INDEX(adopt_mod_y,1,BH6)*price_mod*BH7</f>
        <v>103335.921853968</v>
      </c>
      <c r="BI19" s="19" t="n">
        <f aca="false">BI12*INDEX(adopt_mod_y,1,BI6)*price_mod*BI7</f>
        <v>105924.73547922</v>
      </c>
      <c r="BJ19" s="19" t="n">
        <f aca="false">BJ12*INDEX(adopt_mod_y,1,BJ6)*price_mod*BJ7</f>
        <v>108482.483340969</v>
      </c>
    </row>
    <row r="20" customFormat="false" ht="15" hidden="false" customHeight="false" outlineLevel="0" collapsed="false">
      <c r="A20" s="4" t="s">
        <v>212</v>
      </c>
      <c r="B20" s="4" t="s">
        <v>67</v>
      </c>
      <c r="C20" s="19" t="n">
        <f aca="false">C12*INDEX(adopt_bench_y,1,C6)*price_bench*C7</f>
        <v>0</v>
      </c>
      <c r="D20" s="19" t="n">
        <f aca="false">D12*INDEX(adopt_bench_y,1,D6)*price_bench*D7</f>
        <v>0</v>
      </c>
      <c r="E20" s="19" t="n">
        <f aca="false">E12*INDEX(adopt_bench_y,1,E6)*price_bench*E7</f>
        <v>0</v>
      </c>
      <c r="F20" s="19" t="n">
        <f aca="false">F12*INDEX(adopt_bench_y,1,F6)*price_bench*F7</f>
        <v>0</v>
      </c>
      <c r="G20" s="19" t="n">
        <f aca="false">G12*INDEX(adopt_bench_y,1,G6)*price_bench*G7</f>
        <v>0</v>
      </c>
      <c r="H20" s="19" t="n">
        <f aca="false">H12*INDEX(adopt_bench_y,1,H6)*price_bench*H7</f>
        <v>0</v>
      </c>
      <c r="I20" s="19" t="n">
        <f aca="false">I12*INDEX(adopt_bench_y,1,I6)*price_bench*I7</f>
        <v>0</v>
      </c>
      <c r="J20" s="19" t="n">
        <f aca="false">J12*INDEX(adopt_bench_y,1,J6)*price_bench*J7</f>
        <v>0</v>
      </c>
      <c r="K20" s="19" t="n">
        <f aca="false">K12*INDEX(adopt_bench_y,1,K6)*price_bench*K7</f>
        <v>0</v>
      </c>
      <c r="L20" s="19" t="n">
        <f aca="false">L12*INDEX(adopt_bench_y,1,L6)*price_bench*L7</f>
        <v>0</v>
      </c>
      <c r="M20" s="19" t="n">
        <f aca="false">M12*INDEX(adopt_bench_y,1,M6)*price_bench*M7</f>
        <v>0</v>
      </c>
      <c r="N20" s="19" t="n">
        <f aca="false">N12*INDEX(adopt_bench_y,1,N6)*price_bench*N7</f>
        <v>0</v>
      </c>
      <c r="O20" s="19" t="n">
        <f aca="false">O12*INDEX(adopt_bench_y,1,O6)*price_bench*O7</f>
        <v>414.555812163582</v>
      </c>
      <c r="P20" s="19" t="n">
        <f aca="false">P12*INDEX(adopt_bench_y,1,P6)*price_bench*P7</f>
        <v>567.081142417619</v>
      </c>
      <c r="Q20" s="19" t="n">
        <f aca="false">Q12*INDEX(adopt_bench_y,1,Q6)*price_bench*Q7</f>
        <v>717.776168708608</v>
      </c>
      <c r="R20" s="19" t="n">
        <f aca="false">R12*INDEX(adopt_bench_y,1,R6)*price_bench*R7</f>
        <v>866.662854684104</v>
      </c>
      <c r="S20" s="19" t="n">
        <f aca="false">S12*INDEX(adopt_bench_y,1,S6)*price_bench*S7</f>
        <v>1013.7629004279</v>
      </c>
      <c r="T20" s="19" t="n">
        <f aca="false">T12*INDEX(adopt_bench_y,1,T6)*price_bench*T7</f>
        <v>1159.09774562276</v>
      </c>
      <c r="U20" s="19" t="n">
        <f aca="false">U12*INDEX(adopt_bench_y,1,U6)*price_bench*U7</f>
        <v>1302.68857267529</v>
      </c>
      <c r="V20" s="19" t="n">
        <f aca="false">V12*INDEX(adopt_bench_y,1,V6)*price_bench*V7</f>
        <v>1444.55630980318</v>
      </c>
      <c r="W20" s="19" t="n">
        <f aca="false">W12*INDEX(adopt_bench_y,1,W6)*price_bench*W7</f>
        <v>1584.72163408555</v>
      </c>
      <c r="X20" s="19" t="n">
        <f aca="false">X12*INDEX(adopt_bench_y,1,X6)*price_bench*X7</f>
        <v>1723.20497447652</v>
      </c>
      <c r="Y20" s="19" t="n">
        <f aca="false">Y12*INDEX(adopt_bench_y,1,Y6)*price_bench*Y7</f>
        <v>1860.0265147828</v>
      </c>
      <c r="Z20" s="19" t="n">
        <f aca="false">Z12*INDEX(adopt_bench_y,1,Z6)*price_bench*Z7</f>
        <v>1995.20619660541</v>
      </c>
      <c r="AA20" s="19" t="n">
        <f aca="false">AA12*INDEX(adopt_bench_y,1,AA6)*price_bench*AA7</f>
        <v>5496.78458006028</v>
      </c>
      <c r="AB20" s="19" t="n">
        <f aca="false">AB12*INDEX(adopt_bench_y,1,AB6)*price_bench*AB7</f>
        <v>6092.32316509956</v>
      </c>
      <c r="AC20" s="19" t="n">
        <f aca="false">AC12*INDEX(adopt_bench_y,1,AC6)*price_bench*AC7</f>
        <v>6680.71528711836</v>
      </c>
      <c r="AD20" s="19" t="n">
        <f aca="false">AD12*INDEX(adopt_bench_y,1,AD6)*price_bench*AD7</f>
        <v>7262.04670367294</v>
      </c>
      <c r="AE20" s="19" t="n">
        <f aca="false">AE12*INDEX(adopt_bench_y,1,AE6)*price_bench*AE7</f>
        <v>7836.40214322887</v>
      </c>
      <c r="AF20" s="19" t="n">
        <f aca="false">AF12*INDEX(adopt_bench_y,1,AF6)*price_bench*AF7</f>
        <v>8403.86531751012</v>
      </c>
      <c r="AG20" s="19" t="n">
        <f aca="false">AG12*INDEX(adopt_bench_y,1,AG6)*price_bench*AG7</f>
        <v>8964.5189337</v>
      </c>
      <c r="AH20" s="19" t="n">
        <f aca="false">AH12*INDEX(adopt_bench_y,1,AH6)*price_bench*AH7</f>
        <v>9518.4447064956</v>
      </c>
      <c r="AI20" s="19" t="n">
        <f aca="false">AI12*INDEX(adopt_bench_y,1,AI6)*price_bench*AI7</f>
        <v>10065.7233700177</v>
      </c>
      <c r="AJ20" s="19" t="n">
        <f aca="false">AJ12*INDEX(adopt_bench_y,1,AJ6)*price_bench*AJ7</f>
        <v>10606.4346895774</v>
      </c>
      <c r="AK20" s="19" t="n">
        <f aca="false">AK12*INDEX(adopt_bench_y,1,AK6)*price_bench*AK7</f>
        <v>11140.6574733025</v>
      </c>
      <c r="AL20" s="19" t="n">
        <f aca="false">AL12*INDEX(adopt_bench_y,1,AL6)*price_bench*AL7</f>
        <v>11668.4695836229</v>
      </c>
      <c r="AM20" s="19" t="n">
        <f aca="false">AM12*INDEX(adopt_bench_y,1,AM6)*price_bench*AM7</f>
        <v>19355.4473940756</v>
      </c>
      <c r="AN20" s="19" t="n">
        <f aca="false">AN12*INDEX(adopt_bench_y,1,AN6)*price_bench*AN7</f>
        <v>20477.6032753467</v>
      </c>
      <c r="AO20" s="19" t="n">
        <f aca="false">AO12*INDEX(adopt_bench_y,1,AO6)*price_bench*AO7</f>
        <v>21586.2932860425</v>
      </c>
      <c r="AP20" s="19" t="n">
        <f aca="false">AP12*INDEX(adopt_bench_y,1,AP6)*price_bench*AP7</f>
        <v>22681.67901661</v>
      </c>
      <c r="AQ20" s="19" t="n">
        <f aca="false">AQ12*INDEX(adopt_bench_y,1,AQ6)*price_bench*AQ7</f>
        <v>23763.9201184107</v>
      </c>
      <c r="AR20" s="19" t="n">
        <f aca="false">AR12*INDEX(adopt_bench_y,1,AR6)*price_bench*AR7</f>
        <v>24833.1743269897</v>
      </c>
      <c r="AS20" s="19" t="n">
        <f aca="false">AS12*INDEX(adopt_bench_y,1,AS6)*price_bench*AS7</f>
        <v>25889.5974850659</v>
      </c>
      <c r="AT20" s="19" t="n">
        <f aca="false">AT12*INDEX(adopt_bench_y,1,AT6)*price_bench*AT7</f>
        <v>26933.3435652451</v>
      </c>
      <c r="AU20" s="19" t="n">
        <f aca="false">AU12*INDEX(adopt_bench_y,1,AU6)*price_bench*AU7</f>
        <v>27964.5646924621</v>
      </c>
      <c r="AV20" s="19" t="n">
        <f aca="false">AV12*INDEX(adopt_bench_y,1,AV6)*price_bench*AV7</f>
        <v>28983.4111661526</v>
      </c>
      <c r="AW20" s="19" t="n">
        <f aca="false">AW12*INDEX(adopt_bench_y,1,AW6)*price_bench*AW7</f>
        <v>29990.0314821588</v>
      </c>
      <c r="AX20" s="19" t="n">
        <f aca="false">AX12*INDEX(adopt_bench_y,1,AX6)*price_bench*AX7</f>
        <v>30984.5723543729</v>
      </c>
      <c r="AY20" s="19" t="n">
        <f aca="false">AY12*INDEX(adopt_bench_y,1,AY6)*price_bench*AY7</f>
        <v>41158.2517321878</v>
      </c>
      <c r="AZ20" s="19" t="n">
        <f aca="false">AZ12*INDEX(adopt_bench_y,1,AZ6)*price_bench*AZ7</f>
        <v>42669.9380239016</v>
      </c>
      <c r="BA20" s="19" t="n">
        <f aca="false">BA12*INDEX(adopt_bench_y,1,BA6)*price_bench*BA7</f>
        <v>44163.4840801148</v>
      </c>
      <c r="BB20" s="19" t="n">
        <f aca="false">BB12*INDEX(adopt_bench_y,1,BB6)*price_bench*BB7</f>
        <v>45639.1075836534</v>
      </c>
      <c r="BC20" s="19" t="n">
        <f aca="false">BC12*INDEX(adopt_bench_y,1,BC6)*price_bench*BC7</f>
        <v>47097.0236051495</v>
      </c>
      <c r="BD20" s="19" t="n">
        <f aca="false">BD12*INDEX(adopt_bench_y,1,BD6)*price_bench*BD7</f>
        <v>48537.4446343878</v>
      </c>
      <c r="BE20" s="19" t="n">
        <f aca="false">BE12*INDEX(adopt_bench_y,1,BE6)*price_bench*BE7</f>
        <v>49960.5806112751</v>
      </c>
      <c r="BF20" s="19" t="n">
        <f aca="false">BF12*INDEX(adopt_bench_y,1,BF6)*price_bench*BF7</f>
        <v>51366.6389564398</v>
      </c>
      <c r="BG20" s="19" t="n">
        <f aca="false">BG12*INDEX(adopt_bench_y,1,BG6)*price_bench*BG7</f>
        <v>52755.8246014625</v>
      </c>
      <c r="BH20" s="19" t="n">
        <f aca="false">BH12*INDEX(adopt_bench_y,1,BH6)*price_bench*BH7</f>
        <v>54128.340018745</v>
      </c>
      <c r="BI20" s="19" t="n">
        <f aca="false">BI12*INDEX(adopt_bench_y,1,BI6)*price_bench*BI7</f>
        <v>55484.38525102</v>
      </c>
      <c r="BJ20" s="19" t="n">
        <f aca="false">BJ12*INDEX(adopt_bench_y,1,BJ6)*price_bench*BJ7</f>
        <v>56824.1579405078</v>
      </c>
    </row>
    <row r="21" customFormat="false" ht="15" hidden="false" customHeight="false" outlineLevel="0" collapsed="false">
      <c r="A21" s="4" t="s">
        <v>213</v>
      </c>
      <c r="B21" s="4" t="s">
        <v>67</v>
      </c>
      <c r="C21" s="19" t="n">
        <f aca="false">C14*price_cons*C7</f>
        <v>0</v>
      </c>
      <c r="D21" s="19" t="n">
        <f aca="false">D14*price_cons*D7</f>
        <v>0</v>
      </c>
      <c r="E21" s="19" t="n">
        <f aca="false">E14*price_cons*E7</f>
        <v>0</v>
      </c>
      <c r="F21" s="19" t="n">
        <f aca="false">F14*price_cons*F7</f>
        <v>0</v>
      </c>
      <c r="G21" s="19" t="n">
        <f aca="false">G14*price_cons*G7</f>
        <v>0</v>
      </c>
      <c r="H21" s="19" t="n">
        <f aca="false">H14*price_cons*H7</f>
        <v>0</v>
      </c>
      <c r="I21" s="19" t="n">
        <f aca="false">I14*price_cons*I7</f>
        <v>0</v>
      </c>
      <c r="J21" s="19" t="n">
        <f aca="false">J14*price_cons*J7</f>
        <v>0</v>
      </c>
      <c r="K21" s="19" t="n">
        <f aca="false">K14*price_cons*K7</f>
        <v>0</v>
      </c>
      <c r="L21" s="19" t="n">
        <f aca="false">L14*price_cons*L7</f>
        <v>0</v>
      </c>
      <c r="M21" s="19" t="n">
        <f aca="false">M14*price_cons*M7</f>
        <v>0</v>
      </c>
      <c r="N21" s="19" t="n">
        <f aca="false">N14*price_cons*N7</f>
        <v>0</v>
      </c>
      <c r="O21" s="19" t="n">
        <f aca="false">O14*price_cons*O7</f>
        <v>630</v>
      </c>
      <c r="P21" s="19" t="n">
        <f aca="false">P14*price_cons*P7</f>
        <v>1260</v>
      </c>
      <c r="Q21" s="19" t="n">
        <f aca="false">Q14*price_cons*Q7</f>
        <v>1890</v>
      </c>
      <c r="R21" s="19" t="n">
        <f aca="false">R14*price_cons*R7</f>
        <v>2520</v>
      </c>
      <c r="S21" s="19" t="n">
        <f aca="false">S14*price_cons*S7</f>
        <v>3150</v>
      </c>
      <c r="T21" s="19" t="n">
        <f aca="false">T14*price_cons*T7</f>
        <v>3780</v>
      </c>
      <c r="U21" s="19" t="n">
        <f aca="false">U14*price_cons*U7</f>
        <v>4410</v>
      </c>
      <c r="V21" s="19" t="n">
        <f aca="false">V14*price_cons*V7</f>
        <v>5040</v>
      </c>
      <c r="W21" s="19" t="n">
        <f aca="false">W14*price_cons*W7</f>
        <v>5670</v>
      </c>
      <c r="X21" s="19" t="n">
        <f aca="false">X14*price_cons*X7</f>
        <v>6300</v>
      </c>
      <c r="Y21" s="19" t="n">
        <f aca="false">Y14*price_cons*Y7</f>
        <v>6930</v>
      </c>
      <c r="Z21" s="19" t="n">
        <f aca="false">Z14*price_cons*Z7</f>
        <v>7560</v>
      </c>
      <c r="AA21" s="19" t="n">
        <f aca="false">AA14*price_cons*AA7</f>
        <v>9261</v>
      </c>
      <c r="AB21" s="19" t="n">
        <f aca="false">AB14*price_cons*AB7</f>
        <v>10584</v>
      </c>
      <c r="AC21" s="19" t="n">
        <f aca="false">AC14*price_cons*AC7</f>
        <v>11907</v>
      </c>
      <c r="AD21" s="19" t="n">
        <f aca="false">AD14*price_cons*AD7</f>
        <v>13230</v>
      </c>
      <c r="AE21" s="19" t="n">
        <f aca="false">AE14*price_cons*AE7</f>
        <v>14553</v>
      </c>
      <c r="AF21" s="19" t="n">
        <f aca="false">AF14*price_cons*AF7</f>
        <v>15876</v>
      </c>
      <c r="AG21" s="19" t="n">
        <f aca="false">AG14*price_cons*AG7</f>
        <v>17199</v>
      </c>
      <c r="AH21" s="19" t="n">
        <f aca="false">AH14*price_cons*AH7</f>
        <v>18522</v>
      </c>
      <c r="AI21" s="19" t="n">
        <f aca="false">AI14*price_cons*AI7</f>
        <v>19845</v>
      </c>
      <c r="AJ21" s="19" t="n">
        <f aca="false">AJ14*price_cons*AJ7</f>
        <v>21168</v>
      </c>
      <c r="AK21" s="19" t="n">
        <f aca="false">AK14*price_cons*AK7</f>
        <v>22491</v>
      </c>
      <c r="AL21" s="19" t="n">
        <f aca="false">AL14*price_cons*AL7</f>
        <v>23814</v>
      </c>
      <c r="AM21" s="19" t="n">
        <f aca="false">AM14*price_cons*AM7</f>
        <v>27088.425</v>
      </c>
      <c r="AN21" s="19" t="n">
        <f aca="false">AN14*price_cons*AN7</f>
        <v>29172.15</v>
      </c>
      <c r="AO21" s="19" t="n">
        <f aca="false">AO14*price_cons*AO7</f>
        <v>31255.875</v>
      </c>
      <c r="AP21" s="19" t="n">
        <f aca="false">AP14*price_cons*AP7</f>
        <v>33339.6</v>
      </c>
      <c r="AQ21" s="19" t="n">
        <f aca="false">AQ14*price_cons*AQ7</f>
        <v>35423.325</v>
      </c>
      <c r="AR21" s="19" t="n">
        <f aca="false">AR14*price_cons*AR7</f>
        <v>37507.05</v>
      </c>
      <c r="AS21" s="19" t="n">
        <f aca="false">AS14*price_cons*AS7</f>
        <v>39590.775</v>
      </c>
      <c r="AT21" s="19" t="n">
        <f aca="false">AT14*price_cons*AT7</f>
        <v>41674.5</v>
      </c>
      <c r="AU21" s="19" t="n">
        <f aca="false">AU14*price_cons*AU7</f>
        <v>43758.225</v>
      </c>
      <c r="AV21" s="19" t="n">
        <f aca="false">AV14*price_cons*AV7</f>
        <v>45841.95</v>
      </c>
      <c r="AW21" s="19" t="n">
        <f aca="false">AW14*price_cons*AW7</f>
        <v>47925.675</v>
      </c>
      <c r="AX21" s="19" t="n">
        <f aca="false">AX14*price_cons*AX7</f>
        <v>50009.4</v>
      </c>
      <c r="AY21" s="19" t="n">
        <f aca="false">AY14*price_cons*AY7</f>
        <v>55427.085</v>
      </c>
      <c r="AZ21" s="19" t="n">
        <f aca="false">AZ14*price_cons*AZ7</f>
        <v>58344.3</v>
      </c>
      <c r="BA21" s="19" t="n">
        <f aca="false">BA14*price_cons*BA7</f>
        <v>61261.515</v>
      </c>
      <c r="BB21" s="19" t="n">
        <f aca="false">BB14*price_cons*BB7</f>
        <v>64178.73</v>
      </c>
      <c r="BC21" s="19" t="n">
        <f aca="false">BC14*price_cons*BC7</f>
        <v>67095.945</v>
      </c>
      <c r="BD21" s="19" t="n">
        <f aca="false">BD14*price_cons*BD7</f>
        <v>70013.16</v>
      </c>
      <c r="BE21" s="19" t="n">
        <f aca="false">BE14*price_cons*BE7</f>
        <v>72930.375</v>
      </c>
      <c r="BF21" s="19" t="n">
        <f aca="false">BF14*price_cons*BF7</f>
        <v>75847.59</v>
      </c>
      <c r="BG21" s="19" t="n">
        <f aca="false">BG14*price_cons*BG7</f>
        <v>78764.805</v>
      </c>
      <c r="BH21" s="19" t="n">
        <f aca="false">BH14*price_cons*BH7</f>
        <v>81682.02</v>
      </c>
      <c r="BI21" s="19" t="n">
        <f aca="false">BI14*price_cons*BI7</f>
        <v>84599.235</v>
      </c>
      <c r="BJ21" s="19" t="n">
        <f aca="false">BJ14*price_cons*BJ7</f>
        <v>87516.45</v>
      </c>
    </row>
    <row r="22" customFormat="false" ht="15" hidden="false" customHeight="false" outlineLevel="0" collapsed="false">
      <c r="A22" s="4" t="s">
        <v>514</v>
      </c>
      <c r="B22" s="4" t="s">
        <v>67</v>
      </c>
      <c r="C22" s="19" t="n">
        <f aca="false">IF(MOD(C5-1,12)+1=event_month,INDEX(event_rev_y,1,C6),0)</f>
        <v>0</v>
      </c>
      <c r="D22" s="19" t="n">
        <f aca="false">IF(MOD(D5-1,12)+1=event_month,INDEX(event_rev_y,1,D6),0)</f>
        <v>0</v>
      </c>
      <c r="E22" s="19" t="n">
        <f aca="false">IF(MOD(E5-1,12)+1=event_month,INDEX(event_rev_y,1,E6),0)</f>
        <v>0</v>
      </c>
      <c r="F22" s="19" t="n">
        <f aca="false">IF(MOD(F5-1,12)+1=event_month,INDEX(event_rev_y,1,F6),0)</f>
        <v>0</v>
      </c>
      <c r="G22" s="19" t="n">
        <f aca="false">IF(MOD(G5-1,12)+1=event_month,INDEX(event_rev_y,1,G6),0)</f>
        <v>0</v>
      </c>
      <c r="H22" s="19" t="n">
        <f aca="false">IF(MOD(H5-1,12)+1=event_month,INDEX(event_rev_y,1,H6),0)</f>
        <v>0</v>
      </c>
      <c r="I22" s="19" t="n">
        <f aca="false">IF(MOD(I5-1,12)+1=event_month,INDEX(event_rev_y,1,I6),0)</f>
        <v>0</v>
      </c>
      <c r="J22" s="19" t="n">
        <f aca="false">IF(MOD(J5-1,12)+1=event_month,INDEX(event_rev_y,1,J6),0)</f>
        <v>0</v>
      </c>
      <c r="K22" s="19" t="n">
        <f aca="false">IF(MOD(K5-1,12)+1=event_month,INDEX(event_rev_y,1,K6),0)</f>
        <v>0</v>
      </c>
      <c r="L22" s="19" t="n">
        <f aca="false">IF(MOD(L5-1,12)+1=event_month,INDEX(event_rev_y,1,L6),0)</f>
        <v>0</v>
      </c>
      <c r="M22" s="19" t="n">
        <f aca="false">IF(MOD(M5-1,12)+1=event_month,INDEX(event_rev_y,1,M6),0)</f>
        <v>0</v>
      </c>
      <c r="N22" s="19" t="n">
        <f aca="false">IF(MOD(N5-1,12)+1=event_month,INDEX(event_rev_y,1,N6),0)</f>
        <v>0</v>
      </c>
      <c r="O22" s="19" t="n">
        <f aca="false">IF(MOD(O5-1,12)+1=event_month,INDEX(event_rev_y,1,O6),0)</f>
        <v>0</v>
      </c>
      <c r="P22" s="19" t="n">
        <f aca="false">IF(MOD(P5-1,12)+1=event_month,INDEX(event_rev_y,1,P6),0)</f>
        <v>0</v>
      </c>
      <c r="Q22" s="19" t="n">
        <f aca="false">IF(MOD(Q5-1,12)+1=event_month,INDEX(event_rev_y,1,Q6),0)</f>
        <v>0</v>
      </c>
      <c r="R22" s="19" t="n">
        <f aca="false">IF(MOD(R5-1,12)+1=event_month,INDEX(event_rev_y,1,R6),0)</f>
        <v>0</v>
      </c>
      <c r="S22" s="19" t="n">
        <f aca="false">IF(MOD(S5-1,12)+1=event_month,INDEX(event_rev_y,1,S6),0)</f>
        <v>0</v>
      </c>
      <c r="T22" s="19" t="n">
        <f aca="false">IF(MOD(T5-1,12)+1=event_month,INDEX(event_rev_y,1,T6),0)</f>
        <v>0</v>
      </c>
      <c r="U22" s="19" t="n">
        <f aca="false">IF(MOD(U5-1,12)+1=event_month,INDEX(event_rev_y,1,U6),0)</f>
        <v>0</v>
      </c>
      <c r="V22" s="19" t="n">
        <f aca="false">IF(MOD(V5-1,12)+1=event_month,INDEX(event_rev_y,1,V6),0)</f>
        <v>0</v>
      </c>
      <c r="W22" s="19" t="n">
        <f aca="false">IF(MOD(W5-1,12)+1=event_month,INDEX(event_rev_y,1,W6),0)</f>
        <v>0</v>
      </c>
      <c r="X22" s="19" t="n">
        <f aca="false">IF(MOD(X5-1,12)+1=event_month,INDEX(event_rev_y,1,X6),0)</f>
        <v>60000</v>
      </c>
      <c r="Y22" s="19" t="n">
        <f aca="false">IF(MOD(Y5-1,12)+1=event_month,INDEX(event_rev_y,1,Y6),0)</f>
        <v>0</v>
      </c>
      <c r="Z22" s="19" t="n">
        <f aca="false">IF(MOD(Z5-1,12)+1=event_month,INDEX(event_rev_y,1,Z6),0)</f>
        <v>0</v>
      </c>
      <c r="AA22" s="19" t="n">
        <f aca="false">IF(MOD(AA5-1,12)+1=event_month,INDEX(event_rev_y,1,AA6),0)</f>
        <v>0</v>
      </c>
      <c r="AB22" s="19" t="n">
        <f aca="false">IF(MOD(AB5-1,12)+1=event_month,INDEX(event_rev_y,1,AB6),0)</f>
        <v>0</v>
      </c>
      <c r="AC22" s="19" t="n">
        <f aca="false">IF(MOD(AC5-1,12)+1=event_month,INDEX(event_rev_y,1,AC6),0)</f>
        <v>0</v>
      </c>
      <c r="AD22" s="19" t="n">
        <f aca="false">IF(MOD(AD5-1,12)+1=event_month,INDEX(event_rev_y,1,AD6),0)</f>
        <v>0</v>
      </c>
      <c r="AE22" s="19" t="n">
        <f aca="false">IF(MOD(AE5-1,12)+1=event_month,INDEX(event_rev_y,1,AE6),0)</f>
        <v>0</v>
      </c>
      <c r="AF22" s="19" t="n">
        <f aca="false">IF(MOD(AF5-1,12)+1=event_month,INDEX(event_rev_y,1,AF6),0)</f>
        <v>0</v>
      </c>
      <c r="AG22" s="19" t="n">
        <f aca="false">IF(MOD(AG5-1,12)+1=event_month,INDEX(event_rev_y,1,AG6),0)</f>
        <v>0</v>
      </c>
      <c r="AH22" s="19" t="n">
        <f aca="false">IF(MOD(AH5-1,12)+1=event_month,INDEX(event_rev_y,1,AH6),0)</f>
        <v>0</v>
      </c>
      <c r="AI22" s="19" t="n">
        <f aca="false">IF(MOD(AI5-1,12)+1=event_month,INDEX(event_rev_y,1,AI6),0)</f>
        <v>0</v>
      </c>
      <c r="AJ22" s="19" t="n">
        <f aca="false">IF(MOD(AJ5-1,12)+1=event_month,INDEX(event_rev_y,1,AJ6),0)</f>
        <v>120000</v>
      </c>
      <c r="AK22" s="19" t="n">
        <f aca="false">IF(MOD(AK5-1,12)+1=event_month,INDEX(event_rev_y,1,AK6),0)</f>
        <v>0</v>
      </c>
      <c r="AL22" s="19" t="n">
        <f aca="false">IF(MOD(AL5-1,12)+1=event_month,INDEX(event_rev_y,1,AL6),0)</f>
        <v>0</v>
      </c>
      <c r="AM22" s="19" t="n">
        <f aca="false">IF(MOD(AM5-1,12)+1=event_month,INDEX(event_rev_y,1,AM6),0)</f>
        <v>0</v>
      </c>
      <c r="AN22" s="19" t="n">
        <f aca="false">IF(MOD(AN5-1,12)+1=event_month,INDEX(event_rev_y,1,AN6),0)</f>
        <v>0</v>
      </c>
      <c r="AO22" s="19" t="n">
        <f aca="false">IF(MOD(AO5-1,12)+1=event_month,INDEX(event_rev_y,1,AO6),0)</f>
        <v>0</v>
      </c>
      <c r="AP22" s="19" t="n">
        <f aca="false">IF(MOD(AP5-1,12)+1=event_month,INDEX(event_rev_y,1,AP6),0)</f>
        <v>0</v>
      </c>
      <c r="AQ22" s="19" t="n">
        <f aca="false">IF(MOD(AQ5-1,12)+1=event_month,INDEX(event_rev_y,1,AQ6),0)</f>
        <v>0</v>
      </c>
      <c r="AR22" s="19" t="n">
        <f aca="false">IF(MOD(AR5-1,12)+1=event_month,INDEX(event_rev_y,1,AR6),0)</f>
        <v>0</v>
      </c>
      <c r="AS22" s="19" t="n">
        <f aca="false">IF(MOD(AS5-1,12)+1=event_month,INDEX(event_rev_y,1,AS6),0)</f>
        <v>0</v>
      </c>
      <c r="AT22" s="19" t="n">
        <f aca="false">IF(MOD(AT5-1,12)+1=event_month,INDEX(event_rev_y,1,AT6),0)</f>
        <v>0</v>
      </c>
      <c r="AU22" s="19" t="n">
        <f aca="false">IF(MOD(AU5-1,12)+1=event_month,INDEX(event_rev_y,1,AU6),0)</f>
        <v>0</v>
      </c>
      <c r="AV22" s="19" t="n">
        <f aca="false">IF(MOD(AV5-1,12)+1=event_month,INDEX(event_rev_y,1,AV6),0)</f>
        <v>200000</v>
      </c>
      <c r="AW22" s="19" t="n">
        <f aca="false">IF(MOD(AW5-1,12)+1=event_month,INDEX(event_rev_y,1,AW6),0)</f>
        <v>0</v>
      </c>
      <c r="AX22" s="19" t="n">
        <f aca="false">IF(MOD(AX5-1,12)+1=event_month,INDEX(event_rev_y,1,AX6),0)</f>
        <v>0</v>
      </c>
      <c r="AY22" s="19" t="n">
        <f aca="false">IF(MOD(AY5-1,12)+1=event_month,INDEX(event_rev_y,1,AY6),0)</f>
        <v>0</v>
      </c>
      <c r="AZ22" s="19" t="n">
        <f aca="false">IF(MOD(AZ5-1,12)+1=event_month,INDEX(event_rev_y,1,AZ6),0)</f>
        <v>0</v>
      </c>
      <c r="BA22" s="19" t="n">
        <f aca="false">IF(MOD(BA5-1,12)+1=event_month,INDEX(event_rev_y,1,BA6),0)</f>
        <v>0</v>
      </c>
      <c r="BB22" s="19" t="n">
        <f aca="false">IF(MOD(BB5-1,12)+1=event_month,INDEX(event_rev_y,1,BB6),0)</f>
        <v>0</v>
      </c>
      <c r="BC22" s="19" t="n">
        <f aca="false">IF(MOD(BC5-1,12)+1=event_month,INDEX(event_rev_y,1,BC6),0)</f>
        <v>0</v>
      </c>
      <c r="BD22" s="19" t="n">
        <f aca="false">IF(MOD(BD5-1,12)+1=event_month,INDEX(event_rev_y,1,BD6),0)</f>
        <v>0</v>
      </c>
      <c r="BE22" s="19" t="n">
        <f aca="false">IF(MOD(BE5-1,12)+1=event_month,INDEX(event_rev_y,1,BE6),0)</f>
        <v>0</v>
      </c>
      <c r="BF22" s="19" t="n">
        <f aca="false">IF(MOD(BF5-1,12)+1=event_month,INDEX(event_rev_y,1,BF6),0)</f>
        <v>0</v>
      </c>
      <c r="BG22" s="19" t="n">
        <f aca="false">IF(MOD(BG5-1,12)+1=event_month,INDEX(event_rev_y,1,BG6),0)</f>
        <v>0</v>
      </c>
      <c r="BH22" s="19" t="n">
        <f aca="false">IF(MOD(BH5-1,12)+1=event_month,INDEX(event_rev_y,1,BH6),0)</f>
        <v>280000</v>
      </c>
      <c r="BI22" s="19" t="n">
        <f aca="false">IF(MOD(BI5-1,12)+1=event_month,INDEX(event_rev_y,1,BI6),0)</f>
        <v>0</v>
      </c>
      <c r="BJ22" s="19" t="n">
        <f aca="false">IF(MOD(BJ5-1,12)+1=event_month,INDEX(event_rev_y,1,BJ6),0)</f>
        <v>0</v>
      </c>
    </row>
    <row r="23" customFormat="false" ht="15" hidden="false" customHeight="false" outlineLevel="0" collapsed="false">
      <c r="A23" s="4" t="s">
        <v>215</v>
      </c>
      <c r="B23" s="4" t="s">
        <v>67</v>
      </c>
      <c r="C23" s="19" t="n">
        <f aca="false">INDEX(spons_y,1,C6)/12*IF(C5&gt;=launch_month,1,0)</f>
        <v>0</v>
      </c>
      <c r="D23" s="19" t="n">
        <f aca="false">INDEX(spons_y,1,D6)/12*IF(D5&gt;=launch_month,1,0)</f>
        <v>0</v>
      </c>
      <c r="E23" s="19" t="n">
        <f aca="false">INDEX(spons_y,1,E6)/12*IF(E5&gt;=launch_month,1,0)</f>
        <v>0</v>
      </c>
      <c r="F23" s="19" t="n">
        <f aca="false">INDEX(spons_y,1,F6)/12*IF(F5&gt;=launch_month,1,0)</f>
        <v>0</v>
      </c>
      <c r="G23" s="19" t="n">
        <f aca="false">INDEX(spons_y,1,G6)/12*IF(G5&gt;=launch_month,1,0)</f>
        <v>0</v>
      </c>
      <c r="H23" s="19" t="n">
        <f aca="false">INDEX(spons_y,1,H6)/12*IF(H5&gt;=launch_month,1,0)</f>
        <v>0</v>
      </c>
      <c r="I23" s="19" t="n">
        <f aca="false">INDEX(spons_y,1,I6)/12*IF(I5&gt;=launch_month,1,0)</f>
        <v>0</v>
      </c>
      <c r="J23" s="19" t="n">
        <f aca="false">INDEX(spons_y,1,J6)/12*IF(J5&gt;=launch_month,1,0)</f>
        <v>0</v>
      </c>
      <c r="K23" s="19" t="n">
        <f aca="false">INDEX(spons_y,1,K6)/12*IF(K5&gt;=launch_month,1,0)</f>
        <v>0</v>
      </c>
      <c r="L23" s="19" t="n">
        <f aca="false">INDEX(spons_y,1,L6)/12*IF(L5&gt;=launch_month,1,0)</f>
        <v>0</v>
      </c>
      <c r="M23" s="19" t="n">
        <f aca="false">INDEX(spons_y,1,M6)/12*IF(M5&gt;=launch_month,1,0)</f>
        <v>0</v>
      </c>
      <c r="N23" s="19" t="n">
        <f aca="false">INDEX(spons_y,1,N6)/12*IF(N5&gt;=launch_month,1,0)</f>
        <v>0</v>
      </c>
      <c r="O23" s="19" t="n">
        <f aca="false">INDEX(spons_y,1,O6)/12*IF(O5&gt;=launch_month,1,0)</f>
        <v>10000</v>
      </c>
      <c r="P23" s="19" t="n">
        <f aca="false">INDEX(spons_y,1,P6)/12*IF(P5&gt;=launch_month,1,0)</f>
        <v>10000</v>
      </c>
      <c r="Q23" s="19" t="n">
        <f aca="false">INDEX(spons_y,1,Q6)/12*IF(Q5&gt;=launch_month,1,0)</f>
        <v>10000</v>
      </c>
      <c r="R23" s="19" t="n">
        <f aca="false">INDEX(spons_y,1,R6)/12*IF(R5&gt;=launch_month,1,0)</f>
        <v>10000</v>
      </c>
      <c r="S23" s="19" t="n">
        <f aca="false">INDEX(spons_y,1,S6)/12*IF(S5&gt;=launch_month,1,0)</f>
        <v>10000</v>
      </c>
      <c r="T23" s="19" t="n">
        <f aca="false">INDEX(spons_y,1,T6)/12*IF(T5&gt;=launch_month,1,0)</f>
        <v>10000</v>
      </c>
      <c r="U23" s="19" t="n">
        <f aca="false">INDEX(spons_y,1,U6)/12*IF(U5&gt;=launch_month,1,0)</f>
        <v>10000</v>
      </c>
      <c r="V23" s="19" t="n">
        <f aca="false">INDEX(spons_y,1,V6)/12*IF(V5&gt;=launch_month,1,0)</f>
        <v>10000</v>
      </c>
      <c r="W23" s="19" t="n">
        <f aca="false">INDEX(spons_y,1,W6)/12*IF(W5&gt;=launch_month,1,0)</f>
        <v>10000</v>
      </c>
      <c r="X23" s="19" t="n">
        <f aca="false">INDEX(spons_y,1,X6)/12*IF(X5&gt;=launch_month,1,0)</f>
        <v>10000</v>
      </c>
      <c r="Y23" s="19" t="n">
        <f aca="false">INDEX(spons_y,1,Y6)/12*IF(Y5&gt;=launch_month,1,0)</f>
        <v>10000</v>
      </c>
      <c r="Z23" s="19" t="n">
        <f aca="false">INDEX(spons_y,1,Z6)/12*IF(Z5&gt;=launch_month,1,0)</f>
        <v>10000</v>
      </c>
      <c r="AA23" s="19" t="n">
        <f aca="false">INDEX(spons_y,1,AA6)/12*IF(AA5&gt;=launch_month,1,0)</f>
        <v>30000</v>
      </c>
      <c r="AB23" s="19" t="n">
        <f aca="false">INDEX(spons_y,1,AB6)/12*IF(AB5&gt;=launch_month,1,0)</f>
        <v>30000</v>
      </c>
      <c r="AC23" s="19" t="n">
        <f aca="false">INDEX(spons_y,1,AC6)/12*IF(AC5&gt;=launch_month,1,0)</f>
        <v>30000</v>
      </c>
      <c r="AD23" s="19" t="n">
        <f aca="false">INDEX(spons_y,1,AD6)/12*IF(AD5&gt;=launch_month,1,0)</f>
        <v>30000</v>
      </c>
      <c r="AE23" s="19" t="n">
        <f aca="false">INDEX(spons_y,1,AE6)/12*IF(AE5&gt;=launch_month,1,0)</f>
        <v>30000</v>
      </c>
      <c r="AF23" s="19" t="n">
        <f aca="false">INDEX(spons_y,1,AF6)/12*IF(AF5&gt;=launch_month,1,0)</f>
        <v>30000</v>
      </c>
      <c r="AG23" s="19" t="n">
        <f aca="false">INDEX(spons_y,1,AG6)/12*IF(AG5&gt;=launch_month,1,0)</f>
        <v>30000</v>
      </c>
      <c r="AH23" s="19" t="n">
        <f aca="false">INDEX(spons_y,1,AH6)/12*IF(AH5&gt;=launch_month,1,0)</f>
        <v>30000</v>
      </c>
      <c r="AI23" s="19" t="n">
        <f aca="false">INDEX(spons_y,1,AI6)/12*IF(AI5&gt;=launch_month,1,0)</f>
        <v>30000</v>
      </c>
      <c r="AJ23" s="19" t="n">
        <f aca="false">INDEX(spons_y,1,AJ6)/12*IF(AJ5&gt;=launch_month,1,0)</f>
        <v>30000</v>
      </c>
      <c r="AK23" s="19" t="n">
        <f aca="false">INDEX(spons_y,1,AK6)/12*IF(AK5&gt;=launch_month,1,0)</f>
        <v>30000</v>
      </c>
      <c r="AL23" s="19" t="n">
        <f aca="false">INDEX(spons_y,1,AL6)/12*IF(AL5&gt;=launch_month,1,0)</f>
        <v>30000</v>
      </c>
      <c r="AM23" s="19" t="n">
        <f aca="false">INDEX(spons_y,1,AM6)/12*IF(AM5&gt;=launch_month,1,0)</f>
        <v>50000</v>
      </c>
      <c r="AN23" s="19" t="n">
        <f aca="false">INDEX(spons_y,1,AN6)/12*IF(AN5&gt;=launch_month,1,0)</f>
        <v>50000</v>
      </c>
      <c r="AO23" s="19" t="n">
        <f aca="false">INDEX(spons_y,1,AO6)/12*IF(AO5&gt;=launch_month,1,0)</f>
        <v>50000</v>
      </c>
      <c r="AP23" s="19" t="n">
        <f aca="false">INDEX(spons_y,1,AP6)/12*IF(AP5&gt;=launch_month,1,0)</f>
        <v>50000</v>
      </c>
      <c r="AQ23" s="19" t="n">
        <f aca="false">INDEX(spons_y,1,AQ6)/12*IF(AQ5&gt;=launch_month,1,0)</f>
        <v>50000</v>
      </c>
      <c r="AR23" s="19" t="n">
        <f aca="false">INDEX(spons_y,1,AR6)/12*IF(AR5&gt;=launch_month,1,0)</f>
        <v>50000</v>
      </c>
      <c r="AS23" s="19" t="n">
        <f aca="false">INDEX(spons_y,1,AS6)/12*IF(AS5&gt;=launch_month,1,0)</f>
        <v>50000</v>
      </c>
      <c r="AT23" s="19" t="n">
        <f aca="false">INDEX(spons_y,1,AT6)/12*IF(AT5&gt;=launch_month,1,0)</f>
        <v>50000</v>
      </c>
      <c r="AU23" s="19" t="n">
        <f aca="false">INDEX(spons_y,1,AU6)/12*IF(AU5&gt;=launch_month,1,0)</f>
        <v>50000</v>
      </c>
      <c r="AV23" s="19" t="n">
        <f aca="false">INDEX(spons_y,1,AV6)/12*IF(AV5&gt;=launch_month,1,0)</f>
        <v>50000</v>
      </c>
      <c r="AW23" s="19" t="n">
        <f aca="false">INDEX(spons_y,1,AW6)/12*IF(AW5&gt;=launch_month,1,0)</f>
        <v>50000</v>
      </c>
      <c r="AX23" s="19" t="n">
        <f aca="false">INDEX(spons_y,1,AX6)/12*IF(AX5&gt;=launch_month,1,0)</f>
        <v>50000</v>
      </c>
      <c r="AY23" s="19" t="n">
        <f aca="false">INDEX(spons_y,1,AY6)/12*IF(AY5&gt;=launch_month,1,0)</f>
        <v>75000</v>
      </c>
      <c r="AZ23" s="19" t="n">
        <f aca="false">INDEX(spons_y,1,AZ6)/12*IF(AZ5&gt;=launch_month,1,0)</f>
        <v>75000</v>
      </c>
      <c r="BA23" s="19" t="n">
        <f aca="false">INDEX(spons_y,1,BA6)/12*IF(BA5&gt;=launch_month,1,0)</f>
        <v>75000</v>
      </c>
      <c r="BB23" s="19" t="n">
        <f aca="false">INDEX(spons_y,1,BB6)/12*IF(BB5&gt;=launch_month,1,0)</f>
        <v>75000</v>
      </c>
      <c r="BC23" s="19" t="n">
        <f aca="false">INDEX(spons_y,1,BC6)/12*IF(BC5&gt;=launch_month,1,0)</f>
        <v>75000</v>
      </c>
      <c r="BD23" s="19" t="n">
        <f aca="false">INDEX(spons_y,1,BD6)/12*IF(BD5&gt;=launch_month,1,0)</f>
        <v>75000</v>
      </c>
      <c r="BE23" s="19" t="n">
        <f aca="false">INDEX(spons_y,1,BE6)/12*IF(BE5&gt;=launch_month,1,0)</f>
        <v>75000</v>
      </c>
      <c r="BF23" s="19" t="n">
        <f aca="false">INDEX(spons_y,1,BF6)/12*IF(BF5&gt;=launch_month,1,0)</f>
        <v>75000</v>
      </c>
      <c r="BG23" s="19" t="n">
        <f aca="false">INDEX(spons_y,1,BG6)/12*IF(BG5&gt;=launch_month,1,0)</f>
        <v>75000</v>
      </c>
      <c r="BH23" s="19" t="n">
        <f aca="false">INDEX(spons_y,1,BH6)/12*IF(BH5&gt;=launch_month,1,0)</f>
        <v>75000</v>
      </c>
      <c r="BI23" s="19" t="n">
        <f aca="false">INDEX(spons_y,1,BI6)/12*IF(BI5&gt;=launch_month,1,0)</f>
        <v>75000</v>
      </c>
      <c r="BJ23" s="19" t="n">
        <f aca="false">INDEX(spons_y,1,BJ6)/12*IF(BJ5&gt;=launch_month,1,0)</f>
        <v>75000</v>
      </c>
    </row>
    <row r="24" customFormat="false" ht="15" hidden="false" customHeight="false" outlineLevel="0" collapsed="false">
      <c r="A24" s="5" t="s">
        <v>515</v>
      </c>
      <c r="B24" s="4" t="s">
        <v>67</v>
      </c>
      <c r="C24" s="25" t="n">
        <f aca="false">SUM(C17:C23)</f>
        <v>0</v>
      </c>
      <c r="D24" s="25" t="n">
        <f aca="false">SUM(D17:D23)</f>
        <v>0</v>
      </c>
      <c r="E24" s="25" t="n">
        <f aca="false">SUM(E17:E23)</f>
        <v>0</v>
      </c>
      <c r="F24" s="25" t="n">
        <f aca="false">SUM(F17:F23)</f>
        <v>9030</v>
      </c>
      <c r="G24" s="25" t="n">
        <f aca="false">SUM(G17:G23)</f>
        <v>12763.464</v>
      </c>
      <c r="H24" s="25" t="n">
        <f aca="false">SUM(H17:H23)</f>
        <v>16452.126432</v>
      </c>
      <c r="I24" s="25" t="n">
        <f aca="false">SUM(I17:I23)</f>
        <v>20096.524914816</v>
      </c>
      <c r="J24" s="25" t="n">
        <f aca="false">SUM(J17:J23)</f>
        <v>23697.1906158382</v>
      </c>
      <c r="K24" s="25" t="n">
        <f aca="false">SUM(K17:K23)</f>
        <v>27254.6483284482</v>
      </c>
      <c r="L24" s="25" t="n">
        <f aca="false">SUM(L17:L23)</f>
        <v>30769.4165485068</v>
      </c>
      <c r="M24" s="25" t="n">
        <f aca="false">SUM(M17:M23)</f>
        <v>34242.0075499247</v>
      </c>
      <c r="N24" s="25" t="n">
        <f aca="false">SUM(N17:N23)</f>
        <v>37672.9274593256</v>
      </c>
      <c r="O24" s="25" t="n">
        <f aca="false">SUM(O17:O23)</f>
        <v>83765.622232526</v>
      </c>
      <c r="P24" s="25" t="n">
        <f aca="false">SUM(P17:P23)</f>
        <v>100252.155565736</v>
      </c>
      <c r="Q24" s="25" t="n">
        <f aca="false">SUM(Q17:Q23)</f>
        <v>116548.410498947</v>
      </c>
      <c r="R24" s="25" t="n">
        <f aca="false">SUM(R17:R23)</f>
        <v>132656.67037296</v>
      </c>
      <c r="S24" s="25" t="n">
        <f aca="false">SUM(S17:S23)</f>
        <v>148579.191128484</v>
      </c>
      <c r="T24" s="25" t="n">
        <f aca="false">SUM(T17:T23)</f>
        <v>164318.201634942</v>
      </c>
      <c r="U24" s="25" t="n">
        <f aca="false">SUM(U17:U23)</f>
        <v>179875.904015323</v>
      </c>
      <c r="V24" s="25" t="n">
        <f aca="false">SUM(V17:V23)</f>
        <v>195254.473967139</v>
      </c>
      <c r="W24" s="25" t="n">
        <f aca="false">SUM(W17:W23)</f>
        <v>210456.061079533</v>
      </c>
      <c r="X24" s="25" t="n">
        <f aca="false">SUM(X17:X23)</f>
        <v>285482.789146579</v>
      </c>
      <c r="Y24" s="25" t="n">
        <f aca="false">SUM(Y17:Y23)</f>
        <v>240336.75647682</v>
      </c>
      <c r="Z24" s="25" t="n">
        <f aca="false">SUM(Z17:Z23)</f>
        <v>255020.036199098</v>
      </c>
      <c r="AA24" s="25" t="n">
        <f aca="false">SUM(AA17:AA23)</f>
        <v>338267.375339369</v>
      </c>
      <c r="AB24" s="25" t="n">
        <f aca="false">SUM(AB17:AB23)</f>
        <v>366290.355235297</v>
      </c>
      <c r="AC24" s="25" t="n">
        <f aca="false">SUM(AC17:AC23)</f>
        <v>393992.935372473</v>
      </c>
      <c r="AD24" s="25" t="n">
        <f aca="false">SUM(AD17:AD23)</f>
        <v>421378.960548004</v>
      </c>
      <c r="AE24" s="25" t="n">
        <f aca="false">SUM(AE17:AE23)</f>
        <v>448452.229421428</v>
      </c>
      <c r="AF24" s="25" t="n">
        <f aca="false">SUM(AF17:AF23)</f>
        <v>475216.49506837</v>
      </c>
      <c r="AG24" s="25" t="n">
        <f aca="false">SUM(AG17:AG23)</f>
        <v>501675.46552755</v>
      </c>
      <c r="AH24" s="25" t="n">
        <f aca="false">SUM(AH17:AH23)</f>
        <v>527832.804341219</v>
      </c>
      <c r="AI24" s="25" t="n">
        <f aca="false">SUM(AI17:AI23)</f>
        <v>553692.131089125</v>
      </c>
      <c r="AJ24" s="25" t="n">
        <f aca="false">SUM(AJ17:AJ23)</f>
        <v>699257.021916055</v>
      </c>
      <c r="AK24" s="25" t="n">
        <f aca="false">SUM(AK17:AK23)</f>
        <v>604531.010053063</v>
      </c>
      <c r="AL24" s="25" t="n">
        <f aca="false">SUM(AL17:AL23)</f>
        <v>629517.586332426</v>
      </c>
      <c r="AM24" s="25" t="n">
        <f aca="false">SUM(AM17:AM23)</f>
        <v>744345.251157725</v>
      </c>
      <c r="AN24" s="25" t="n">
        <f aca="false">SUM(AN17:AN23)</f>
        <v>780953.972104832</v>
      </c>
      <c r="AO24" s="25" t="n">
        <f aca="false">SUM(AO17:AO23)</f>
        <v>817148.393100574</v>
      </c>
      <c r="AP24" s="25" t="n">
        <f aca="false">SUM(AP17:AP23)</f>
        <v>852933.485744367</v>
      </c>
      <c r="AQ24" s="25" t="n">
        <f aca="false">SUM(AQ17:AQ23)</f>
        <v>888314.161976435</v>
      </c>
      <c r="AR24" s="25" t="n">
        <f aca="false">SUM(AR17:AR23)</f>
        <v>923295.274793718</v>
      </c>
      <c r="AS24" s="25" t="n">
        <f aca="false">SUM(AS17:AS23)</f>
        <v>957881.618957193</v>
      </c>
      <c r="AT24" s="25" t="n">
        <f aca="false">SUM(AT17:AT23)</f>
        <v>992077.931690707</v>
      </c>
      <c r="AU24" s="25" t="n">
        <f aca="false">SUM(AU17:AU23)</f>
        <v>1025888.89337142</v>
      </c>
      <c r="AV24" s="25" t="n">
        <f aca="false">SUM(AV17:AV23)</f>
        <v>1259319.12821196</v>
      </c>
      <c r="AW24" s="25" t="n">
        <f aca="false">SUM(AW17:AW23)</f>
        <v>1092373.20493442</v>
      </c>
      <c r="AX24" s="25" t="n">
        <f aca="false">SUM(AX17:AX23)</f>
        <v>1125055.63743621</v>
      </c>
      <c r="AY24" s="25" t="n">
        <f aca="false">SUM(AY17:AY23)</f>
        <v>1274004.66374271</v>
      </c>
      <c r="AZ24" s="25" t="n">
        <f aca="false">SUM(AZ17:AZ23)</f>
        <v>1315730.9886318</v>
      </c>
      <c r="BA24" s="25" t="n">
        <f aca="false">SUM(BA17:BA23)</f>
        <v>1356991.60420222</v>
      </c>
      <c r="BB24" s="25" t="n">
        <f aca="false">SUM(BB17:BB23)</f>
        <v>1397792.09896579</v>
      </c>
      <c r="BC24" s="25" t="n">
        <f aca="false">SUM(BC17:BC23)</f>
        <v>1438137.9943722</v>
      </c>
      <c r="BD24" s="25" t="n">
        <f aca="false">SUM(BD17:BD23)</f>
        <v>1478034.74561374</v>
      </c>
      <c r="BE24" s="25" t="n">
        <f aca="false">SUM(BE17:BE23)</f>
        <v>1517487.74242037</v>
      </c>
      <c r="BF24" s="25" t="n">
        <f aca="false">SUM(BF17:BF23)</f>
        <v>1556502.30984533</v>
      </c>
      <c r="BG24" s="25" t="n">
        <f aca="false">SUM(BG17:BG23)</f>
        <v>1595083.70904118</v>
      </c>
      <c r="BH24" s="25" t="n">
        <f aca="false">SUM(BH17:BH23)</f>
        <v>1913237.13802669</v>
      </c>
      <c r="BI24" s="25" t="n">
        <f aca="false">SUM(BI17:BI23)</f>
        <v>1670967.73244437</v>
      </c>
      <c r="BJ24" s="25" t="n">
        <f aca="false">SUM(BJ17:BJ23)</f>
        <v>1708280.56630904</v>
      </c>
    </row>
    <row r="25" customFormat="false" ht="15" hidden="false" customHeight="false" outlineLevel="0" collapsed="false">
      <c r="A25" s="4" t="s">
        <v>217</v>
      </c>
      <c r="B25" s="4" t="s">
        <v>67</v>
      </c>
      <c r="C25" s="19" t="n">
        <f aca="false">-C24*INDEX(tax_y,1,C6)</f>
        <v>-0</v>
      </c>
      <c r="D25" s="19" t="n">
        <f aca="false">-D24*INDEX(tax_y,1,D6)</f>
        <v>-0</v>
      </c>
      <c r="E25" s="19" t="n">
        <f aca="false">-E24*INDEX(tax_y,1,E6)</f>
        <v>-0</v>
      </c>
      <c r="F25" s="19" t="n">
        <f aca="false">-F24*INDEX(tax_y,1,F6)</f>
        <v>-541.8</v>
      </c>
      <c r="G25" s="19" t="n">
        <f aca="false">-G24*INDEX(tax_y,1,G6)</f>
        <v>-765.80784</v>
      </c>
      <c r="H25" s="19" t="n">
        <f aca="false">-H24*INDEX(tax_y,1,H6)</f>
        <v>-987.12758592</v>
      </c>
      <c r="I25" s="19" t="n">
        <f aca="false">-I24*INDEX(tax_y,1,I6)</f>
        <v>-1205.79149488896</v>
      </c>
      <c r="J25" s="19" t="n">
        <f aca="false">-J24*INDEX(tax_y,1,J6)</f>
        <v>-1421.83143695029</v>
      </c>
      <c r="K25" s="19" t="n">
        <f aca="false">-K24*INDEX(tax_y,1,K6)</f>
        <v>-1635.27889970689</v>
      </c>
      <c r="L25" s="19" t="n">
        <f aca="false">-L24*INDEX(tax_y,1,L6)</f>
        <v>-1846.16499291041</v>
      </c>
      <c r="M25" s="19" t="n">
        <f aca="false">-M24*INDEX(tax_y,1,M6)</f>
        <v>-2054.52045299548</v>
      </c>
      <c r="N25" s="19" t="n">
        <f aca="false">-N24*INDEX(tax_y,1,N6)</f>
        <v>-2260.37564755954</v>
      </c>
      <c r="O25" s="19" t="n">
        <f aca="false">-O24*INDEX(tax_y,1,O6)</f>
        <v>-6701.24977860208</v>
      </c>
      <c r="P25" s="19" t="n">
        <f aca="false">-P24*INDEX(tax_y,1,P6)</f>
        <v>-8020.17244525885</v>
      </c>
      <c r="Q25" s="19" t="n">
        <f aca="false">-Q24*INDEX(tax_y,1,Q6)</f>
        <v>-9323.87283991575</v>
      </c>
      <c r="R25" s="19" t="n">
        <f aca="false">-R24*INDEX(tax_y,1,R6)</f>
        <v>-10612.5336298368</v>
      </c>
      <c r="S25" s="19" t="n">
        <f aca="false">-S24*INDEX(tax_y,1,S6)</f>
        <v>-11886.3352902787</v>
      </c>
      <c r="T25" s="19" t="n">
        <f aca="false">-T24*INDEX(tax_y,1,T6)</f>
        <v>-13145.4561307954</v>
      </c>
      <c r="U25" s="19" t="n">
        <f aca="false">-U24*INDEX(tax_y,1,U6)</f>
        <v>-14390.0723212258</v>
      </c>
      <c r="V25" s="19" t="n">
        <f aca="false">-V24*INDEX(tax_y,1,V6)</f>
        <v>-15620.3579173711</v>
      </c>
      <c r="W25" s="19" t="n">
        <f aca="false">-W24*INDEX(tax_y,1,W6)</f>
        <v>-16836.4848863627</v>
      </c>
      <c r="X25" s="19" t="n">
        <f aca="false">-X24*INDEX(tax_y,1,X6)</f>
        <v>-22838.6231317263</v>
      </c>
      <c r="Y25" s="19" t="n">
        <f aca="false">-Y24*INDEX(tax_y,1,Y6)</f>
        <v>-19226.9405181456</v>
      </c>
      <c r="Z25" s="19" t="n">
        <f aca="false">-Z24*INDEX(tax_y,1,Z6)</f>
        <v>-20401.6028959279</v>
      </c>
      <c r="AA25" s="19" t="n">
        <f aca="false">-AA24*INDEX(tax_y,1,AA6)</f>
        <v>-43974.758794118</v>
      </c>
      <c r="AB25" s="19" t="n">
        <f aca="false">-AB24*INDEX(tax_y,1,AB6)</f>
        <v>-47617.7461805886</v>
      </c>
      <c r="AC25" s="19" t="n">
        <f aca="false">-AC24*INDEX(tax_y,1,AC6)</f>
        <v>-51219.0815984215</v>
      </c>
      <c r="AD25" s="19" t="n">
        <f aca="false">-AD24*INDEX(tax_y,1,AD6)</f>
        <v>-54779.2648712405</v>
      </c>
      <c r="AE25" s="19" t="n">
        <f aca="false">-AE24*INDEX(tax_y,1,AE6)</f>
        <v>-58298.7898247856</v>
      </c>
      <c r="AF25" s="19" t="n">
        <f aca="false">-AF24*INDEX(tax_y,1,AF6)</f>
        <v>-61778.1443588882</v>
      </c>
      <c r="AG25" s="19" t="n">
        <f aca="false">-AG24*INDEX(tax_y,1,AG6)</f>
        <v>-65217.8105185815</v>
      </c>
      <c r="AH25" s="19" t="n">
        <f aca="false">-AH24*INDEX(tax_y,1,AH6)</f>
        <v>-68618.2645643585</v>
      </c>
      <c r="AI25" s="19" t="n">
        <f aca="false">-AI24*INDEX(tax_y,1,AI6)</f>
        <v>-71979.9770415862</v>
      </c>
      <c r="AJ25" s="19" t="n">
        <f aca="false">-AJ24*INDEX(tax_y,1,AJ6)</f>
        <v>-90903.4128490872</v>
      </c>
      <c r="AK25" s="19" t="n">
        <f aca="false">-AK24*INDEX(tax_y,1,AK6)</f>
        <v>-78589.0313068982</v>
      </c>
      <c r="AL25" s="19" t="n">
        <f aca="false">-AL24*INDEX(tax_y,1,AL6)</f>
        <v>-81837.2862232154</v>
      </c>
      <c r="AM25" s="19" t="n">
        <f aca="false">-AM24*INDEX(tax_y,1,AM6)</f>
        <v>-104208.335162082</v>
      </c>
      <c r="AN25" s="19" t="n">
        <f aca="false">-AN24*INDEX(tax_y,1,AN6)</f>
        <v>-109333.556094677</v>
      </c>
      <c r="AO25" s="19" t="n">
        <f aca="false">-AO24*INDEX(tax_y,1,AO6)</f>
        <v>-114400.77503408</v>
      </c>
      <c r="AP25" s="19" t="n">
        <f aca="false">-AP24*INDEX(tax_y,1,AP6)</f>
        <v>-119410.688004211</v>
      </c>
      <c r="AQ25" s="19" t="n">
        <f aca="false">-AQ24*INDEX(tax_y,1,AQ6)</f>
        <v>-124363.982676701</v>
      </c>
      <c r="AR25" s="19" t="n">
        <f aca="false">-AR24*INDEX(tax_y,1,AR6)</f>
        <v>-129261.338471121</v>
      </c>
      <c r="AS25" s="19" t="n">
        <f aca="false">-AS24*INDEX(tax_y,1,AS6)</f>
        <v>-134103.426654007</v>
      </c>
      <c r="AT25" s="19" t="n">
        <f aca="false">-AT24*INDEX(tax_y,1,AT6)</f>
        <v>-138890.910436699</v>
      </c>
      <c r="AU25" s="19" t="n">
        <f aca="false">-AU24*INDEX(tax_y,1,AU6)</f>
        <v>-143624.445071999</v>
      </c>
      <c r="AV25" s="19" t="n">
        <f aca="false">-AV24*INDEX(tax_y,1,AV6)</f>
        <v>-176304.677949675</v>
      </c>
      <c r="AW25" s="19" t="n">
        <f aca="false">-AW24*INDEX(tax_y,1,AW6)</f>
        <v>-152932.248690819</v>
      </c>
      <c r="AX25" s="19" t="n">
        <f aca="false">-AX24*INDEX(tax_y,1,AX6)</f>
        <v>-157507.789241069</v>
      </c>
      <c r="AY25" s="19" t="n">
        <f aca="false">-AY24*INDEX(tax_y,1,AY6)</f>
        <v>-178360.65292398</v>
      </c>
      <c r="AZ25" s="19" t="n">
        <f aca="false">-AZ24*INDEX(tax_y,1,AZ6)</f>
        <v>-184202.338408452</v>
      </c>
      <c r="BA25" s="19" t="n">
        <f aca="false">-BA24*INDEX(tax_y,1,BA6)</f>
        <v>-189978.824588311</v>
      </c>
      <c r="BB25" s="19" t="n">
        <f aca="false">-BB24*INDEX(tax_y,1,BB6)</f>
        <v>-195690.893855211</v>
      </c>
      <c r="BC25" s="19" t="n">
        <f aca="false">-BC24*INDEX(tax_y,1,BC6)</f>
        <v>-201339.319212108</v>
      </c>
      <c r="BD25" s="19" t="n">
        <f aca="false">-BD24*INDEX(tax_y,1,BD6)</f>
        <v>-206924.864385923</v>
      </c>
      <c r="BE25" s="19" t="n">
        <f aca="false">-BE24*INDEX(tax_y,1,BE6)</f>
        <v>-212448.283938852</v>
      </c>
      <c r="BF25" s="19" t="n">
        <f aca="false">-BF24*INDEX(tax_y,1,BF6)</f>
        <v>-217910.323378346</v>
      </c>
      <c r="BG25" s="19" t="n">
        <f aca="false">-BG24*INDEX(tax_y,1,BG6)</f>
        <v>-223311.719265766</v>
      </c>
      <c r="BH25" s="19" t="n">
        <f aca="false">-BH24*INDEX(tax_y,1,BH6)</f>
        <v>-267853.199323737</v>
      </c>
      <c r="BI25" s="19" t="n">
        <f aca="false">-BI24*INDEX(tax_y,1,BI6)</f>
        <v>-233935.482542212</v>
      </c>
      <c r="BJ25" s="19" t="n">
        <f aca="false">-BJ24*INDEX(tax_y,1,BJ6)</f>
        <v>-239159.279283265</v>
      </c>
    </row>
    <row r="26" customFormat="false" ht="15" hidden="false" customHeight="false" outlineLevel="0" collapsed="false">
      <c r="A26" s="5" t="s">
        <v>516</v>
      </c>
      <c r="B26" s="4" t="s">
        <v>67</v>
      </c>
      <c r="C26" s="25" t="n">
        <f aca="false">C24+C25</f>
        <v>0</v>
      </c>
      <c r="D26" s="25" t="n">
        <f aca="false">D24+D25</f>
        <v>0</v>
      </c>
      <c r="E26" s="25" t="n">
        <f aca="false">E24+E25</f>
        <v>0</v>
      </c>
      <c r="F26" s="25" t="n">
        <f aca="false">F24+F25</f>
        <v>8488.2</v>
      </c>
      <c r="G26" s="25" t="n">
        <f aca="false">G24+G25</f>
        <v>11997.65616</v>
      </c>
      <c r="H26" s="25" t="n">
        <f aca="false">H24+H25</f>
        <v>15464.99884608</v>
      </c>
      <c r="I26" s="25" t="n">
        <f aca="false">I24+I25</f>
        <v>18890.733419927</v>
      </c>
      <c r="J26" s="25" t="n">
        <f aca="false">J24+J25</f>
        <v>22275.3591788879</v>
      </c>
      <c r="K26" s="25" t="n">
        <f aca="false">K24+K25</f>
        <v>25619.3694287413</v>
      </c>
      <c r="L26" s="25" t="n">
        <f aca="false">L24+L25</f>
        <v>28923.2515555964</v>
      </c>
      <c r="M26" s="25" t="n">
        <f aca="false">M24+M25</f>
        <v>32187.4870969292</v>
      </c>
      <c r="N26" s="25" t="n">
        <f aca="false">N24+N25</f>
        <v>35412.5518117661</v>
      </c>
      <c r="O26" s="25" t="n">
        <f aca="false">O24+O25</f>
        <v>77064.3724539239</v>
      </c>
      <c r="P26" s="25" t="n">
        <f aca="false">P24+P25</f>
        <v>92231.9831204768</v>
      </c>
      <c r="Q26" s="25" t="n">
        <f aca="false">Q24+Q25</f>
        <v>107224.537659031</v>
      </c>
      <c r="R26" s="25" t="n">
        <f aca="false">R24+R25</f>
        <v>122044.136743123</v>
      </c>
      <c r="S26" s="25" t="n">
        <f aca="false">S24+S25</f>
        <v>136692.855838205</v>
      </c>
      <c r="T26" s="25" t="n">
        <f aca="false">T24+T25</f>
        <v>151172.745504147</v>
      </c>
      <c r="U26" s="25" t="n">
        <f aca="false">U24+U25</f>
        <v>165485.831694097</v>
      </c>
      <c r="V26" s="25" t="n">
        <f aca="false">V24+V25</f>
        <v>179634.116049768</v>
      </c>
      <c r="W26" s="25" t="n">
        <f aca="false">W24+W25</f>
        <v>193619.576193171</v>
      </c>
      <c r="X26" s="25" t="n">
        <f aca="false">X24+X25</f>
        <v>262644.166014853</v>
      </c>
      <c r="Y26" s="25" t="n">
        <f aca="false">Y24+Y25</f>
        <v>221109.815958674</v>
      </c>
      <c r="Z26" s="25" t="n">
        <f aca="false">Z24+Z25</f>
        <v>234618.43330317</v>
      </c>
      <c r="AA26" s="25" t="n">
        <f aca="false">AA24+AA25</f>
        <v>294292.616545251</v>
      </c>
      <c r="AB26" s="25" t="n">
        <f aca="false">AB24+AB25</f>
        <v>318672.609054708</v>
      </c>
      <c r="AC26" s="25" t="n">
        <f aca="false">AC24+AC25</f>
        <v>342773.853774052</v>
      </c>
      <c r="AD26" s="25" t="n">
        <f aca="false">AD24+AD25</f>
        <v>366599.695676763</v>
      </c>
      <c r="AE26" s="25" t="n">
        <f aca="false">AE24+AE25</f>
        <v>390153.439596642</v>
      </c>
      <c r="AF26" s="25" t="n">
        <f aca="false">AF24+AF25</f>
        <v>413438.350709482</v>
      </c>
      <c r="AG26" s="25" t="n">
        <f aca="false">AG24+AG25</f>
        <v>436457.655008969</v>
      </c>
      <c r="AH26" s="25" t="n">
        <f aca="false">AH24+AH25</f>
        <v>459214.539776861</v>
      </c>
      <c r="AI26" s="25" t="n">
        <f aca="false">AI24+AI25</f>
        <v>481712.154047539</v>
      </c>
      <c r="AJ26" s="25" t="n">
        <f aca="false">AJ24+AJ25</f>
        <v>608353.609066968</v>
      </c>
      <c r="AK26" s="25" t="n">
        <f aca="false">AK24+AK25</f>
        <v>525941.978746165</v>
      </c>
      <c r="AL26" s="25" t="n">
        <f aca="false">AL24+AL25</f>
        <v>547680.30010921</v>
      </c>
      <c r="AM26" s="25" t="n">
        <f aca="false">AM24+AM25</f>
        <v>640136.915995643</v>
      </c>
      <c r="AN26" s="25" t="n">
        <f aca="false">AN24+AN25</f>
        <v>671620.416010156</v>
      </c>
      <c r="AO26" s="25" t="n">
        <f aca="false">AO24+AO25</f>
        <v>702747.618066494</v>
      </c>
      <c r="AP26" s="25" t="n">
        <f aca="false">AP24+AP25</f>
        <v>733522.797740156</v>
      </c>
      <c r="AQ26" s="25" t="n">
        <f aca="false">AQ24+AQ25</f>
        <v>763950.179299734</v>
      </c>
      <c r="AR26" s="25" t="n">
        <f aca="false">AR24+AR25</f>
        <v>794033.936322597</v>
      </c>
      <c r="AS26" s="25" t="n">
        <f aca="false">AS24+AS25</f>
        <v>823778.192303186</v>
      </c>
      <c r="AT26" s="25" t="n">
        <f aca="false">AT24+AT25</f>
        <v>853187.021254008</v>
      </c>
      <c r="AU26" s="25" t="n">
        <f aca="false">AU24+AU25</f>
        <v>882264.44829942</v>
      </c>
      <c r="AV26" s="25" t="n">
        <f aca="false">AV24+AV25</f>
        <v>1083014.45026229</v>
      </c>
      <c r="AW26" s="25" t="n">
        <f aca="false">AW24+AW25</f>
        <v>939440.956243599</v>
      </c>
      <c r="AX26" s="25" t="n">
        <f aca="false">AX24+AX25</f>
        <v>967547.848195136</v>
      </c>
      <c r="AY26" s="25" t="n">
        <f aca="false">AY24+AY25</f>
        <v>1095644.01081873</v>
      </c>
      <c r="AZ26" s="25" t="n">
        <f aca="false">AZ24+AZ25</f>
        <v>1131528.65022335</v>
      </c>
      <c r="BA26" s="25" t="n">
        <f aca="false">BA24+BA25</f>
        <v>1167012.77961391</v>
      </c>
      <c r="BB26" s="25" t="n">
        <f aca="false">BB24+BB25</f>
        <v>1202101.20511058</v>
      </c>
      <c r="BC26" s="25" t="n">
        <f aca="false">BC24+BC25</f>
        <v>1236798.67516009</v>
      </c>
      <c r="BD26" s="25" t="n">
        <f aca="false">BD24+BD25</f>
        <v>1271109.88122781</v>
      </c>
      <c r="BE26" s="25" t="n">
        <f aca="false">BE24+BE25</f>
        <v>1305039.45848152</v>
      </c>
      <c r="BF26" s="25" t="n">
        <f aca="false">BF24+BF25</f>
        <v>1338591.98646698</v>
      </c>
      <c r="BG26" s="25" t="n">
        <f aca="false">BG24+BG25</f>
        <v>1371771.98977542</v>
      </c>
      <c r="BH26" s="25" t="n">
        <f aca="false">BH24+BH25</f>
        <v>1645383.93870295</v>
      </c>
      <c r="BI26" s="25" t="n">
        <f aca="false">BI24+BI25</f>
        <v>1437032.24990216</v>
      </c>
      <c r="BJ26" s="25" t="n">
        <f aca="false">BJ24+BJ25</f>
        <v>1469121.28702577</v>
      </c>
    </row>
    <row r="27" customFormat="false" ht="15" hidden="false" customHeight="false" outlineLevel="0" collapsed="false">
      <c r="A27" s="4" t="s">
        <v>517</v>
      </c>
      <c r="B27" s="4" t="s">
        <v>67</v>
      </c>
      <c r="C27" s="19" t="n">
        <f aca="false">C17+C19+C20+C21+C23</f>
        <v>0</v>
      </c>
      <c r="D27" s="19" t="n">
        <f aca="false">D17+D19+D20+D21+D23</f>
        <v>0</v>
      </c>
      <c r="E27" s="19" t="n">
        <f aca="false">E17+E19+E20+E21+E23</f>
        <v>0</v>
      </c>
      <c r="F27" s="19" t="n">
        <f aca="false">F17+F19+F20+F21+F23</f>
        <v>1878</v>
      </c>
      <c r="G27" s="19" t="n">
        <f aca="false">G17+G19+G20+G21+G23</f>
        <v>5611.464</v>
      </c>
      <c r="H27" s="19" t="n">
        <f aca="false">H17+H19+H20+H21+H23</f>
        <v>9300.126432</v>
      </c>
      <c r="I27" s="19" t="n">
        <f aca="false">I17+I19+I20+I21+I23</f>
        <v>12944.524914816</v>
      </c>
      <c r="J27" s="19" t="n">
        <f aca="false">J17+J19+J20+J21+J23</f>
        <v>16545.1906158382</v>
      </c>
      <c r="K27" s="19" t="n">
        <f aca="false">K17+K19+K20+K21+K23</f>
        <v>20102.6483284482</v>
      </c>
      <c r="L27" s="19" t="n">
        <f aca="false">L17+L19+L20+L21+L23</f>
        <v>23617.4165485068</v>
      </c>
      <c r="M27" s="19" t="n">
        <f aca="false">M17+M19+M20+M21+M23</f>
        <v>27090.0075499247</v>
      </c>
      <c r="N27" s="19" t="n">
        <f aca="false">N17+N19+N20+N21+N23</f>
        <v>30520.9274593256</v>
      </c>
      <c r="O27" s="19" t="n">
        <f aca="false">O17+O19+O20+O21+O23</f>
        <v>53727.222232526</v>
      </c>
      <c r="P27" s="19" t="n">
        <f aca="false">P17+P19+P20+P21+P23</f>
        <v>70213.7555657357</v>
      </c>
      <c r="Q27" s="19" t="n">
        <f aca="false">Q17+Q19+Q20+Q21+Q23</f>
        <v>86510.0104989469</v>
      </c>
      <c r="R27" s="19" t="n">
        <f aca="false">R17+R19+R20+R21+R23</f>
        <v>102618.27037296</v>
      </c>
      <c r="S27" s="19" t="n">
        <f aca="false">S17+S19+S20+S21+S23</f>
        <v>118540.791128484</v>
      </c>
      <c r="T27" s="19" t="n">
        <f aca="false">T17+T19+T20+T21+T23</f>
        <v>134279.801634942</v>
      </c>
      <c r="U27" s="19" t="n">
        <f aca="false">U17+U19+U20+U21+U23</f>
        <v>149837.504015323</v>
      </c>
      <c r="V27" s="19" t="n">
        <f aca="false">V17+V19+V20+V21+V23</f>
        <v>165216.073967139</v>
      </c>
      <c r="W27" s="19" t="n">
        <f aca="false">W17+W19+W20+W21+W23</f>
        <v>180417.661079533</v>
      </c>
      <c r="X27" s="19" t="n">
        <f aca="false">X17+X19+X20+X21+X23</f>
        <v>195444.389146579</v>
      </c>
      <c r="Y27" s="19" t="n">
        <f aca="false">Y17+Y19+Y20+Y21+Y23</f>
        <v>210298.35647682</v>
      </c>
      <c r="Z27" s="19" t="n">
        <f aca="false">Z17+Z19+Z20+Z21+Z23</f>
        <v>224981.636199098</v>
      </c>
      <c r="AA27" s="19" t="n">
        <f aca="false">AA17+AA19+AA20+AA21+AA23</f>
        <v>285700.175339369</v>
      </c>
      <c r="AB27" s="19" t="n">
        <f aca="false">AB17+AB19+AB20+AB21+AB23</f>
        <v>313723.155235297</v>
      </c>
      <c r="AC27" s="19" t="n">
        <f aca="false">AC17+AC19+AC20+AC21+AC23</f>
        <v>341425.735372473</v>
      </c>
      <c r="AD27" s="19" t="n">
        <f aca="false">AD17+AD19+AD20+AD21+AD23</f>
        <v>368811.760548004</v>
      </c>
      <c r="AE27" s="19" t="n">
        <f aca="false">AE17+AE19+AE20+AE21+AE23</f>
        <v>395885.029421427</v>
      </c>
      <c r="AF27" s="19" t="n">
        <f aca="false">AF17+AF19+AF20+AF21+AF23</f>
        <v>422649.29506837</v>
      </c>
      <c r="AG27" s="19" t="n">
        <f aca="false">AG17+AG19+AG20+AG21+AG23</f>
        <v>449108.26552755</v>
      </c>
      <c r="AH27" s="19" t="n">
        <f aca="false">AH17+AH19+AH20+AH21+AH23</f>
        <v>475265.604341219</v>
      </c>
      <c r="AI27" s="19" t="n">
        <f aca="false">AI17+AI19+AI20+AI21+AI23</f>
        <v>501124.931089125</v>
      </c>
      <c r="AJ27" s="19" t="n">
        <f aca="false">AJ17+AJ19+AJ20+AJ21+AJ23</f>
        <v>526689.821916055</v>
      </c>
      <c r="AK27" s="19" t="n">
        <f aca="false">AK17+AK19+AK20+AK21+AK23</f>
        <v>551963.810053063</v>
      </c>
      <c r="AL27" s="19" t="n">
        <f aca="false">AL17+AL19+AL20+AL21+AL23</f>
        <v>576950.386332426</v>
      </c>
      <c r="AM27" s="19" t="n">
        <f aca="false">AM17+AM19+AM20+AM21+AM23</f>
        <v>672591.023157725</v>
      </c>
      <c r="AN27" s="19" t="n">
        <f aca="false">AN17+AN19+AN20+AN21+AN23</f>
        <v>709199.744104832</v>
      </c>
      <c r="AO27" s="19" t="n">
        <f aca="false">AO17+AO19+AO20+AO21+AO23</f>
        <v>745394.165100574</v>
      </c>
      <c r="AP27" s="19" t="n">
        <f aca="false">AP17+AP19+AP20+AP21+AP23</f>
        <v>781179.257744367</v>
      </c>
      <c r="AQ27" s="19" t="n">
        <f aca="false">AQ17+AQ19+AQ20+AQ21+AQ23</f>
        <v>816559.933976435</v>
      </c>
      <c r="AR27" s="19" t="n">
        <f aca="false">AR17+AR19+AR20+AR21+AR23</f>
        <v>851541.046793718</v>
      </c>
      <c r="AS27" s="19" t="n">
        <f aca="false">AS17+AS19+AS20+AS21+AS23</f>
        <v>886127.390957193</v>
      </c>
      <c r="AT27" s="19" t="n">
        <f aca="false">AT17+AT19+AT20+AT21+AT23</f>
        <v>920323.703690707</v>
      </c>
      <c r="AU27" s="19" t="n">
        <f aca="false">AU17+AU19+AU20+AU21+AU23</f>
        <v>954134.665371418</v>
      </c>
      <c r="AV27" s="19" t="n">
        <f aca="false">AV17+AV19+AV20+AV21+AV23</f>
        <v>987564.900211961</v>
      </c>
      <c r="AW27" s="19" t="n">
        <f aca="false">AW17+AW19+AW20+AW21+AW23</f>
        <v>1020618.97693442</v>
      </c>
      <c r="AX27" s="19" t="n">
        <f aca="false">AX17+AX19+AX20+AX21+AX23</f>
        <v>1053301.40943621</v>
      </c>
      <c r="AY27" s="19" t="n">
        <f aca="false">AY17+AY19+AY20+AY21+AY23</f>
        <v>1187071.65674271</v>
      </c>
      <c r="AZ27" s="19" t="n">
        <f aca="false">AZ17+AZ19+AZ20+AZ21+AZ23</f>
        <v>1228797.9816318</v>
      </c>
      <c r="BA27" s="19" t="n">
        <f aca="false">BA17+BA19+BA20+BA21+BA23</f>
        <v>1270058.59720222</v>
      </c>
      <c r="BB27" s="19" t="n">
        <f aca="false">BB17+BB19+BB20+BB21+BB23</f>
        <v>1310859.09196579</v>
      </c>
      <c r="BC27" s="19" t="n">
        <f aca="false">BC17+BC19+BC20+BC21+BC23</f>
        <v>1351204.9873722</v>
      </c>
      <c r="BD27" s="19" t="n">
        <f aca="false">BD17+BD19+BD20+BD21+BD23</f>
        <v>1391101.73861374</v>
      </c>
      <c r="BE27" s="19" t="n">
        <f aca="false">BE17+BE19+BE20+BE21+BE23</f>
        <v>1430554.73542037</v>
      </c>
      <c r="BF27" s="19" t="n">
        <f aca="false">BF17+BF19+BF20+BF21+BF23</f>
        <v>1469569.30284533</v>
      </c>
      <c r="BG27" s="19" t="n">
        <f aca="false">BG17+BG19+BG20+BG21+BG23</f>
        <v>1508150.70204118</v>
      </c>
      <c r="BH27" s="19" t="n">
        <f aca="false">BH17+BH19+BH20+BH21+BH23</f>
        <v>1546304.13102669</v>
      </c>
      <c r="BI27" s="19" t="n">
        <f aca="false">BI17+BI19+BI20+BI21+BI23</f>
        <v>1584034.72544437</v>
      </c>
      <c r="BJ27" s="19" t="n">
        <f aca="false">BJ17+BJ19+BJ20+BJ21+BJ23</f>
        <v>1621347.55930904</v>
      </c>
    </row>
    <row r="28" customFormat="false" ht="15" hidden="false" customHeight="false" outlineLevel="0" collapsed="false">
      <c r="A28" s="7" t="s">
        <v>518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customFormat="false" ht="15" hidden="false" customHeight="false" outlineLevel="0" collapsed="false">
      <c r="A29" s="4" t="s">
        <v>331</v>
      </c>
      <c r="B29" s="4" t="s">
        <v>169</v>
      </c>
      <c r="C29" s="19" t="n">
        <f aca="false">IF(OR(C5&lt;launch_month,C11&lt;n1_from),0,ROUNDUP(C11/r_n1,0))</f>
        <v>0</v>
      </c>
      <c r="D29" s="19" t="n">
        <f aca="false">IF(OR(D5&lt;launch_month,D11&lt;n1_from),0,ROUNDUP(D11/r_n1,0))</f>
        <v>0</v>
      </c>
      <c r="E29" s="19" t="n">
        <f aca="false">IF(OR(E5&lt;launch_month,E11&lt;n1_from),0,ROUNDUP(E11/r_n1,0))</f>
        <v>0</v>
      </c>
      <c r="F29" s="19" t="n">
        <f aca="false">IF(OR(F5&lt;launch_month,F11&lt;n1_from),0,ROUNDUP(F11/r_n1,0))</f>
        <v>0</v>
      </c>
      <c r="G29" s="19" t="n">
        <f aca="false">IF(OR(G5&lt;launch_month,G11&lt;n1_from),0,ROUNDUP(G11/r_n1,0))</f>
        <v>0</v>
      </c>
      <c r="H29" s="19" t="n">
        <f aca="false">IF(OR(H5&lt;launch_month,H11&lt;n1_from),0,ROUNDUP(H11/r_n1,0))</f>
        <v>0</v>
      </c>
      <c r="I29" s="19" t="n">
        <f aca="false">IF(OR(I5&lt;launch_month,I11&lt;n1_from),0,ROUNDUP(I11/r_n1,0))</f>
        <v>0</v>
      </c>
      <c r="J29" s="19" t="n">
        <f aca="false">IF(OR(J5&lt;launch_month,J11&lt;n1_from),0,ROUNDUP(J11/r_n1,0))</f>
        <v>0</v>
      </c>
      <c r="K29" s="19" t="n">
        <f aca="false">IF(OR(K5&lt;launch_month,K11&lt;n1_from),0,ROUNDUP(K11/r_n1,0))</f>
        <v>0</v>
      </c>
      <c r="L29" s="19" t="n">
        <f aca="false">IF(OR(L5&lt;launch_month,L11&lt;n1_from),0,ROUNDUP(L11/r_n1,0))</f>
        <v>0</v>
      </c>
      <c r="M29" s="19" t="n">
        <f aca="false">IF(OR(M5&lt;launch_month,M11&lt;n1_from),0,ROUNDUP(M11/r_n1,0))</f>
        <v>0</v>
      </c>
      <c r="N29" s="19" t="n">
        <f aca="false">IF(OR(N5&lt;launch_month,N11&lt;n1_from),0,ROUNDUP(N11/r_n1,0))</f>
        <v>0</v>
      </c>
      <c r="O29" s="19" t="n">
        <f aca="false">IF(OR(O5&lt;launch_month,O11&lt;n1_from),0,ROUNDUP(O11/r_n1,0))</f>
        <v>1</v>
      </c>
      <c r="P29" s="19" t="n">
        <f aca="false">IF(OR(P5&lt;launch_month,P11&lt;n1_from),0,ROUNDUP(P11/r_n1,0))</f>
        <v>1</v>
      </c>
      <c r="Q29" s="19" t="n">
        <f aca="false">IF(OR(Q5&lt;launch_month,Q11&lt;n1_from),0,ROUNDUP(Q11/r_n1,0))</f>
        <v>1</v>
      </c>
      <c r="R29" s="19" t="n">
        <f aca="false">IF(OR(R5&lt;launch_month,R11&lt;n1_from),0,ROUNDUP(R11/r_n1,0))</f>
        <v>1</v>
      </c>
      <c r="S29" s="19" t="n">
        <f aca="false">IF(OR(S5&lt;launch_month,S11&lt;n1_from),0,ROUNDUP(S11/r_n1,0))</f>
        <v>1</v>
      </c>
      <c r="T29" s="19" t="n">
        <f aca="false">IF(OR(T5&lt;launch_month,T11&lt;n1_from),0,ROUNDUP(T11/r_n1,0))</f>
        <v>1</v>
      </c>
      <c r="U29" s="19" t="n">
        <f aca="false">IF(OR(U5&lt;launch_month,U11&lt;n1_from),0,ROUNDUP(U11/r_n1,0))</f>
        <v>1</v>
      </c>
      <c r="V29" s="19" t="n">
        <f aca="false">IF(OR(V5&lt;launch_month,V11&lt;n1_from),0,ROUNDUP(V11/r_n1,0))</f>
        <v>1</v>
      </c>
      <c r="W29" s="19" t="n">
        <f aca="false">IF(OR(W5&lt;launch_month,W11&lt;n1_from),0,ROUNDUP(W11/r_n1,0))</f>
        <v>1</v>
      </c>
      <c r="X29" s="19" t="n">
        <f aca="false">IF(OR(X5&lt;launch_month,X11&lt;n1_from),0,ROUNDUP(X11/r_n1,0))</f>
        <v>1</v>
      </c>
      <c r="Y29" s="19" t="n">
        <f aca="false">IF(OR(Y5&lt;launch_month,Y11&lt;n1_from),0,ROUNDUP(Y11/r_n1,0))</f>
        <v>1</v>
      </c>
      <c r="Z29" s="19" t="n">
        <f aca="false">IF(OR(Z5&lt;launch_month,Z11&lt;n1_from),0,ROUNDUP(Z11/r_n1,0))</f>
        <v>2</v>
      </c>
      <c r="AA29" s="19" t="n">
        <f aca="false">IF(OR(AA5&lt;launch_month,AA11&lt;n1_from),0,ROUNDUP(AA11/r_n1,0))</f>
        <v>2</v>
      </c>
      <c r="AB29" s="19" t="n">
        <f aca="false">IF(OR(AB5&lt;launch_month,AB11&lt;n1_from),0,ROUNDUP(AB11/r_n1,0))</f>
        <v>2</v>
      </c>
      <c r="AC29" s="19" t="n">
        <f aca="false">IF(OR(AC5&lt;launch_month,AC11&lt;n1_from),0,ROUNDUP(AC11/r_n1,0))</f>
        <v>2</v>
      </c>
      <c r="AD29" s="19" t="n">
        <f aca="false">IF(OR(AD5&lt;launch_month,AD11&lt;n1_from),0,ROUNDUP(AD11/r_n1,0))</f>
        <v>2</v>
      </c>
      <c r="AE29" s="19" t="n">
        <f aca="false">IF(OR(AE5&lt;launch_month,AE11&lt;n1_from),0,ROUNDUP(AE11/r_n1,0))</f>
        <v>2</v>
      </c>
      <c r="AF29" s="19" t="n">
        <f aca="false">IF(OR(AF5&lt;launch_month,AF11&lt;n1_from),0,ROUNDUP(AF11/r_n1,0))</f>
        <v>2</v>
      </c>
      <c r="AG29" s="19" t="n">
        <f aca="false">IF(OR(AG5&lt;launch_month,AG11&lt;n1_from),0,ROUNDUP(AG11/r_n1,0))</f>
        <v>2</v>
      </c>
      <c r="AH29" s="19" t="n">
        <f aca="false">IF(OR(AH5&lt;launch_month,AH11&lt;n1_from),0,ROUNDUP(AH11/r_n1,0))</f>
        <v>2</v>
      </c>
      <c r="AI29" s="19" t="n">
        <f aca="false">IF(OR(AI5&lt;launch_month,AI11&lt;n1_from),0,ROUNDUP(AI11/r_n1,0))</f>
        <v>3</v>
      </c>
      <c r="AJ29" s="19" t="n">
        <f aca="false">IF(OR(AJ5&lt;launch_month,AJ11&lt;n1_from),0,ROUNDUP(AJ11/r_n1,0))</f>
        <v>3</v>
      </c>
      <c r="AK29" s="19" t="n">
        <f aca="false">IF(OR(AK5&lt;launch_month,AK11&lt;n1_from),0,ROUNDUP(AK11/r_n1,0))</f>
        <v>3</v>
      </c>
      <c r="AL29" s="19" t="n">
        <f aca="false">IF(OR(AL5&lt;launch_month,AL11&lt;n1_from),0,ROUNDUP(AL11/r_n1,0))</f>
        <v>3</v>
      </c>
      <c r="AM29" s="19" t="n">
        <f aca="false">IF(OR(AM5&lt;launch_month,AM11&lt;n1_from),0,ROUNDUP(AM11/r_n1,0))</f>
        <v>3</v>
      </c>
      <c r="AN29" s="19" t="n">
        <f aca="false">IF(OR(AN5&lt;launch_month,AN11&lt;n1_from),0,ROUNDUP(AN11/r_n1,0))</f>
        <v>3</v>
      </c>
      <c r="AO29" s="19" t="n">
        <f aca="false">IF(OR(AO5&lt;launch_month,AO11&lt;n1_from),0,ROUNDUP(AO11/r_n1,0))</f>
        <v>3</v>
      </c>
      <c r="AP29" s="19" t="n">
        <f aca="false">IF(OR(AP5&lt;launch_month,AP11&lt;n1_from),0,ROUNDUP(AP11/r_n1,0))</f>
        <v>3</v>
      </c>
      <c r="AQ29" s="19" t="n">
        <f aca="false">IF(OR(AQ5&lt;launch_month,AQ11&lt;n1_from),0,ROUNDUP(AQ11/r_n1,0))</f>
        <v>4</v>
      </c>
      <c r="AR29" s="19" t="n">
        <f aca="false">IF(OR(AR5&lt;launch_month,AR11&lt;n1_from),0,ROUNDUP(AR11/r_n1,0))</f>
        <v>4</v>
      </c>
      <c r="AS29" s="19" t="n">
        <f aca="false">IF(OR(AS5&lt;launch_month,AS11&lt;n1_from),0,ROUNDUP(AS11/r_n1,0))</f>
        <v>4</v>
      </c>
      <c r="AT29" s="19" t="n">
        <f aca="false">IF(OR(AT5&lt;launch_month,AT11&lt;n1_from),0,ROUNDUP(AT11/r_n1,0))</f>
        <v>4</v>
      </c>
      <c r="AU29" s="19" t="n">
        <f aca="false">IF(OR(AU5&lt;launch_month,AU11&lt;n1_from),0,ROUNDUP(AU11/r_n1,0))</f>
        <v>4</v>
      </c>
      <c r="AV29" s="19" t="n">
        <f aca="false">IF(OR(AV5&lt;launch_month,AV11&lt;n1_from),0,ROUNDUP(AV11/r_n1,0))</f>
        <v>4</v>
      </c>
      <c r="AW29" s="19" t="n">
        <f aca="false">IF(OR(AW5&lt;launch_month,AW11&lt;n1_from),0,ROUNDUP(AW11/r_n1,0))</f>
        <v>4</v>
      </c>
      <c r="AX29" s="19" t="n">
        <f aca="false">IF(OR(AX5&lt;launch_month,AX11&lt;n1_from),0,ROUNDUP(AX11/r_n1,0))</f>
        <v>5</v>
      </c>
      <c r="AY29" s="19" t="n">
        <f aca="false">IF(OR(AY5&lt;launch_month,AY11&lt;n1_from),0,ROUNDUP(AY11/r_n1,0))</f>
        <v>5</v>
      </c>
      <c r="AZ29" s="19" t="n">
        <f aca="false">IF(OR(AZ5&lt;launch_month,AZ11&lt;n1_from),0,ROUNDUP(AZ11/r_n1,0))</f>
        <v>5</v>
      </c>
      <c r="BA29" s="19" t="n">
        <f aca="false">IF(OR(BA5&lt;launch_month,BA11&lt;n1_from),0,ROUNDUP(BA11/r_n1,0))</f>
        <v>5</v>
      </c>
      <c r="BB29" s="19" t="n">
        <f aca="false">IF(OR(BB5&lt;launch_month,BB11&lt;n1_from),0,ROUNDUP(BB11/r_n1,0))</f>
        <v>5</v>
      </c>
      <c r="BC29" s="19" t="n">
        <f aca="false">IF(OR(BC5&lt;launch_month,BC11&lt;n1_from),0,ROUNDUP(BC11/r_n1,0))</f>
        <v>5</v>
      </c>
      <c r="BD29" s="19" t="n">
        <f aca="false">IF(OR(BD5&lt;launch_month,BD11&lt;n1_from),0,ROUNDUP(BD11/r_n1,0))</f>
        <v>5</v>
      </c>
      <c r="BE29" s="19" t="n">
        <f aca="false">IF(OR(BE5&lt;launch_month,BE11&lt;n1_from),0,ROUNDUP(BE11/r_n1,0))</f>
        <v>6</v>
      </c>
      <c r="BF29" s="19" t="n">
        <f aca="false">IF(OR(BF5&lt;launch_month,BF11&lt;n1_from),0,ROUNDUP(BF11/r_n1,0))</f>
        <v>6</v>
      </c>
      <c r="BG29" s="19" t="n">
        <f aca="false">IF(OR(BG5&lt;launch_month,BG11&lt;n1_from),0,ROUNDUP(BG11/r_n1,0))</f>
        <v>6</v>
      </c>
      <c r="BH29" s="19" t="n">
        <f aca="false">IF(OR(BH5&lt;launch_month,BH11&lt;n1_from),0,ROUNDUP(BH11/r_n1,0))</f>
        <v>6</v>
      </c>
      <c r="BI29" s="19" t="n">
        <f aca="false">IF(OR(BI5&lt;launch_month,BI11&lt;n1_from),0,ROUNDUP(BI11/r_n1,0))</f>
        <v>6</v>
      </c>
      <c r="BJ29" s="19" t="n">
        <f aca="false">IF(OR(BJ5&lt;launch_month,BJ11&lt;n1_from),0,ROUNDUP(BJ11/r_n1,0))</f>
        <v>6</v>
      </c>
    </row>
    <row r="30" customFormat="false" ht="15" hidden="false" customHeight="false" outlineLevel="0" collapsed="false">
      <c r="A30" s="4" t="s">
        <v>332</v>
      </c>
      <c r="B30" s="4" t="s">
        <v>169</v>
      </c>
      <c r="C30" s="19" t="n">
        <f aca="false">IF(C5&lt;launch_month,0,MAX(1,ROUNDUP(C11/r_cs,0)))</f>
        <v>0</v>
      </c>
      <c r="D30" s="19" t="n">
        <f aca="false">IF(D5&lt;launch_month,0,MAX(1,ROUNDUP(D11/r_cs,0)))</f>
        <v>0</v>
      </c>
      <c r="E30" s="19" t="n">
        <f aca="false">IF(E5&lt;launch_month,0,MAX(1,ROUNDUP(E11/r_cs,0)))</f>
        <v>0</v>
      </c>
      <c r="F30" s="19" t="n">
        <f aca="false">IF(F5&lt;launch_month,0,MAX(1,ROUNDUP(F11/r_cs,0)))</f>
        <v>1</v>
      </c>
      <c r="G30" s="19" t="n">
        <f aca="false">IF(G5&lt;launch_month,0,MAX(1,ROUNDUP(G11/r_cs,0)))</f>
        <v>1</v>
      </c>
      <c r="H30" s="19" t="n">
        <f aca="false">IF(H5&lt;launch_month,0,MAX(1,ROUNDUP(H11/r_cs,0)))</f>
        <v>1</v>
      </c>
      <c r="I30" s="19" t="n">
        <f aca="false">IF(I5&lt;launch_month,0,MAX(1,ROUNDUP(I11/r_cs,0)))</f>
        <v>1</v>
      </c>
      <c r="J30" s="19" t="n">
        <f aca="false">IF(J5&lt;launch_month,0,MAX(1,ROUNDUP(J11/r_cs,0)))</f>
        <v>1</v>
      </c>
      <c r="K30" s="19" t="n">
        <f aca="false">IF(K5&lt;launch_month,0,MAX(1,ROUNDUP(K11/r_cs,0)))</f>
        <v>1</v>
      </c>
      <c r="L30" s="19" t="n">
        <f aca="false">IF(L5&lt;launch_month,0,MAX(1,ROUNDUP(L11/r_cs,0)))</f>
        <v>1</v>
      </c>
      <c r="M30" s="19" t="n">
        <f aca="false">IF(M5&lt;launch_month,0,MAX(1,ROUNDUP(M11/r_cs,0)))</f>
        <v>1</v>
      </c>
      <c r="N30" s="19" t="n">
        <f aca="false">IF(N5&lt;launch_month,0,MAX(1,ROUNDUP(N11/r_cs,0)))</f>
        <v>1</v>
      </c>
      <c r="O30" s="19" t="n">
        <f aca="false">IF(O5&lt;launch_month,0,MAX(1,ROUNDUP(O11/r_cs,0)))</f>
        <v>1</v>
      </c>
      <c r="P30" s="19" t="n">
        <f aca="false">IF(P5&lt;launch_month,0,MAX(1,ROUNDUP(P11/r_cs,0)))</f>
        <v>1</v>
      </c>
      <c r="Q30" s="19" t="n">
        <f aca="false">IF(Q5&lt;launch_month,0,MAX(1,ROUNDUP(Q11/r_cs,0)))</f>
        <v>1</v>
      </c>
      <c r="R30" s="19" t="n">
        <f aca="false">IF(R5&lt;launch_month,0,MAX(1,ROUNDUP(R11/r_cs,0)))</f>
        <v>1</v>
      </c>
      <c r="S30" s="19" t="n">
        <f aca="false">IF(S5&lt;launch_month,0,MAX(1,ROUNDUP(S11/r_cs,0)))</f>
        <v>1</v>
      </c>
      <c r="T30" s="19" t="n">
        <f aca="false">IF(T5&lt;launch_month,0,MAX(1,ROUNDUP(T11/r_cs,0)))</f>
        <v>1</v>
      </c>
      <c r="U30" s="19" t="n">
        <f aca="false">IF(U5&lt;launch_month,0,MAX(1,ROUNDUP(U11/r_cs,0)))</f>
        <v>2</v>
      </c>
      <c r="V30" s="19" t="n">
        <f aca="false">IF(V5&lt;launch_month,0,MAX(1,ROUNDUP(V11/r_cs,0)))</f>
        <v>2</v>
      </c>
      <c r="W30" s="19" t="n">
        <f aca="false">IF(W5&lt;launch_month,0,MAX(1,ROUNDUP(W11/r_cs,0)))</f>
        <v>2</v>
      </c>
      <c r="X30" s="19" t="n">
        <f aca="false">IF(X5&lt;launch_month,0,MAX(1,ROUNDUP(X11/r_cs,0)))</f>
        <v>2</v>
      </c>
      <c r="Y30" s="19" t="n">
        <f aca="false">IF(Y5&lt;launch_month,0,MAX(1,ROUNDUP(Y11/r_cs,0)))</f>
        <v>2</v>
      </c>
      <c r="Z30" s="19" t="n">
        <f aca="false">IF(Z5&lt;launch_month,0,MAX(1,ROUNDUP(Z11/r_cs,0)))</f>
        <v>2</v>
      </c>
      <c r="AA30" s="19" t="n">
        <f aca="false">IF(AA5&lt;launch_month,0,MAX(1,ROUNDUP(AA11/r_cs,0)))</f>
        <v>2</v>
      </c>
      <c r="AB30" s="19" t="n">
        <f aca="false">IF(AB5&lt;launch_month,0,MAX(1,ROUNDUP(AB11/r_cs,0)))</f>
        <v>2</v>
      </c>
      <c r="AC30" s="19" t="n">
        <f aca="false">IF(AC5&lt;launch_month,0,MAX(1,ROUNDUP(AC11/r_cs,0)))</f>
        <v>3</v>
      </c>
      <c r="AD30" s="19" t="n">
        <f aca="false">IF(AD5&lt;launch_month,0,MAX(1,ROUNDUP(AD11/r_cs,0)))</f>
        <v>3</v>
      </c>
      <c r="AE30" s="19" t="n">
        <f aca="false">IF(AE5&lt;launch_month,0,MAX(1,ROUNDUP(AE11/r_cs,0)))</f>
        <v>3</v>
      </c>
      <c r="AF30" s="19" t="n">
        <f aca="false">IF(AF5&lt;launch_month,0,MAX(1,ROUNDUP(AF11/r_cs,0)))</f>
        <v>3</v>
      </c>
      <c r="AG30" s="19" t="n">
        <f aca="false">IF(AG5&lt;launch_month,0,MAX(1,ROUNDUP(AG11/r_cs,0)))</f>
        <v>3</v>
      </c>
      <c r="AH30" s="19" t="n">
        <f aca="false">IF(AH5&lt;launch_month,0,MAX(1,ROUNDUP(AH11/r_cs,0)))</f>
        <v>3</v>
      </c>
      <c r="AI30" s="19" t="n">
        <f aca="false">IF(AI5&lt;launch_month,0,MAX(1,ROUNDUP(AI11/r_cs,0)))</f>
        <v>4</v>
      </c>
      <c r="AJ30" s="19" t="n">
        <f aca="false">IF(AJ5&lt;launch_month,0,MAX(1,ROUNDUP(AJ11/r_cs,0)))</f>
        <v>4</v>
      </c>
      <c r="AK30" s="19" t="n">
        <f aca="false">IF(AK5&lt;launch_month,0,MAX(1,ROUNDUP(AK11/r_cs,0)))</f>
        <v>4</v>
      </c>
      <c r="AL30" s="19" t="n">
        <f aca="false">IF(AL5&lt;launch_month,0,MAX(1,ROUNDUP(AL11/r_cs,0)))</f>
        <v>4</v>
      </c>
      <c r="AM30" s="19" t="n">
        <f aca="false">IF(AM5&lt;launch_month,0,MAX(1,ROUNDUP(AM11/r_cs,0)))</f>
        <v>4</v>
      </c>
      <c r="AN30" s="19" t="n">
        <f aca="false">IF(AN5&lt;launch_month,0,MAX(1,ROUNDUP(AN11/r_cs,0)))</f>
        <v>5</v>
      </c>
      <c r="AO30" s="19" t="n">
        <f aca="false">IF(AO5&lt;launch_month,0,MAX(1,ROUNDUP(AO11/r_cs,0)))</f>
        <v>5</v>
      </c>
      <c r="AP30" s="19" t="n">
        <f aca="false">IF(AP5&lt;launch_month,0,MAX(1,ROUNDUP(AP11/r_cs,0)))</f>
        <v>5</v>
      </c>
      <c r="AQ30" s="19" t="n">
        <f aca="false">IF(AQ5&lt;launch_month,0,MAX(1,ROUNDUP(AQ11/r_cs,0)))</f>
        <v>5</v>
      </c>
      <c r="AR30" s="19" t="n">
        <f aca="false">IF(AR5&lt;launch_month,0,MAX(1,ROUNDUP(AR11/r_cs,0)))</f>
        <v>5</v>
      </c>
      <c r="AS30" s="19" t="n">
        <f aca="false">IF(AS5&lt;launch_month,0,MAX(1,ROUNDUP(AS11/r_cs,0)))</f>
        <v>6</v>
      </c>
      <c r="AT30" s="19" t="n">
        <f aca="false">IF(AT5&lt;launch_month,0,MAX(1,ROUNDUP(AT11/r_cs,0)))</f>
        <v>6</v>
      </c>
      <c r="AU30" s="19" t="n">
        <f aca="false">IF(AU5&lt;launch_month,0,MAX(1,ROUNDUP(AU11/r_cs,0)))</f>
        <v>6</v>
      </c>
      <c r="AV30" s="19" t="n">
        <f aca="false">IF(AV5&lt;launch_month,0,MAX(1,ROUNDUP(AV11/r_cs,0)))</f>
        <v>6</v>
      </c>
      <c r="AW30" s="19" t="n">
        <f aca="false">IF(AW5&lt;launch_month,0,MAX(1,ROUNDUP(AW11/r_cs,0)))</f>
        <v>6</v>
      </c>
      <c r="AX30" s="19" t="n">
        <f aca="false">IF(AX5&lt;launch_month,0,MAX(1,ROUNDUP(AX11/r_cs,0)))</f>
        <v>7</v>
      </c>
      <c r="AY30" s="19" t="n">
        <f aca="false">IF(AY5&lt;launch_month,0,MAX(1,ROUNDUP(AY11/r_cs,0)))</f>
        <v>7</v>
      </c>
      <c r="AZ30" s="19" t="n">
        <f aca="false">IF(AZ5&lt;launch_month,0,MAX(1,ROUNDUP(AZ11/r_cs,0)))</f>
        <v>7</v>
      </c>
      <c r="BA30" s="19" t="n">
        <f aca="false">IF(BA5&lt;launch_month,0,MAX(1,ROUNDUP(BA11/r_cs,0)))</f>
        <v>7</v>
      </c>
      <c r="BB30" s="19" t="n">
        <f aca="false">IF(BB5&lt;launch_month,0,MAX(1,ROUNDUP(BB11/r_cs,0)))</f>
        <v>7</v>
      </c>
      <c r="BC30" s="19" t="n">
        <f aca="false">IF(BC5&lt;launch_month,0,MAX(1,ROUNDUP(BC11/r_cs,0)))</f>
        <v>8</v>
      </c>
      <c r="BD30" s="19" t="n">
        <f aca="false">IF(BD5&lt;launch_month,0,MAX(1,ROUNDUP(BD11/r_cs,0)))</f>
        <v>8</v>
      </c>
      <c r="BE30" s="19" t="n">
        <f aca="false">IF(BE5&lt;launch_month,0,MAX(1,ROUNDUP(BE11/r_cs,0)))</f>
        <v>8</v>
      </c>
      <c r="BF30" s="19" t="n">
        <f aca="false">IF(BF5&lt;launch_month,0,MAX(1,ROUNDUP(BF11/r_cs,0)))</f>
        <v>8</v>
      </c>
      <c r="BG30" s="19" t="n">
        <f aca="false">IF(BG5&lt;launch_month,0,MAX(1,ROUNDUP(BG11/r_cs,0)))</f>
        <v>8</v>
      </c>
      <c r="BH30" s="19" t="n">
        <f aca="false">IF(BH5&lt;launch_month,0,MAX(1,ROUNDUP(BH11/r_cs,0)))</f>
        <v>9</v>
      </c>
      <c r="BI30" s="19" t="n">
        <f aca="false">IF(BI5&lt;launch_month,0,MAX(1,ROUNDUP(BI11/r_cs,0)))</f>
        <v>9</v>
      </c>
      <c r="BJ30" s="19" t="n">
        <f aca="false">IF(BJ5&lt;launch_month,0,MAX(1,ROUNDUP(BJ11/r_cs,0)))</f>
        <v>9</v>
      </c>
    </row>
    <row r="31" customFormat="false" ht="15" hidden="false" customHeight="false" outlineLevel="0" collapsed="false">
      <c r="A31" s="4" t="s">
        <v>519</v>
      </c>
      <c r="B31" s="4" t="s">
        <v>169</v>
      </c>
      <c r="C31" s="19" t="n">
        <f aca="false">IF(C5&lt;launch_month,0,ROUNDUP(C13/r_n2,0))</f>
        <v>0</v>
      </c>
      <c r="D31" s="19" t="n">
        <f aca="false">IF(D5&lt;launch_month,0,ROUNDUP(D13/r_n2,0))</f>
        <v>0</v>
      </c>
      <c r="E31" s="19" t="n">
        <f aca="false">IF(E5&lt;launch_month,0,ROUNDUP(E13/r_n2,0))</f>
        <v>0</v>
      </c>
      <c r="F31" s="19" t="n">
        <f aca="false">IF(F5&lt;launch_month,0,ROUNDUP(F13/r_n2,0))</f>
        <v>1</v>
      </c>
      <c r="G31" s="19" t="n">
        <f aca="false">IF(G5&lt;launch_month,0,ROUNDUP(G13/r_n2,0))</f>
        <v>1</v>
      </c>
      <c r="H31" s="19" t="n">
        <f aca="false">IF(H5&lt;launch_month,0,ROUNDUP(H13/r_n2,0))</f>
        <v>1</v>
      </c>
      <c r="I31" s="19" t="n">
        <f aca="false">IF(I5&lt;launch_month,0,ROUNDUP(I13/r_n2,0))</f>
        <v>1</v>
      </c>
      <c r="J31" s="19" t="n">
        <f aca="false">IF(J5&lt;launch_month,0,ROUNDUP(J13/r_n2,0))</f>
        <v>1</v>
      </c>
      <c r="K31" s="19" t="n">
        <f aca="false">IF(K5&lt;launch_month,0,ROUNDUP(K13/r_n2,0))</f>
        <v>1</v>
      </c>
      <c r="L31" s="19" t="n">
        <f aca="false">IF(L5&lt;launch_month,0,ROUNDUP(L13/r_n2,0))</f>
        <v>1</v>
      </c>
      <c r="M31" s="19" t="n">
        <f aca="false">IF(M5&lt;launch_month,0,ROUNDUP(M13/r_n2,0))</f>
        <v>1</v>
      </c>
      <c r="N31" s="19" t="n">
        <f aca="false">IF(N5&lt;launch_month,0,ROUNDUP(N13/r_n2,0))</f>
        <v>1</v>
      </c>
      <c r="O31" s="19" t="n">
        <f aca="false">IF(O5&lt;launch_month,0,ROUNDUP(O13/r_n2,0))</f>
        <v>1</v>
      </c>
      <c r="P31" s="19" t="n">
        <f aca="false">IF(P5&lt;launch_month,0,ROUNDUP(P13/r_n2,0))</f>
        <v>1</v>
      </c>
      <c r="Q31" s="19" t="n">
        <f aca="false">IF(Q5&lt;launch_month,0,ROUNDUP(Q13/r_n2,0))</f>
        <v>1</v>
      </c>
      <c r="R31" s="19" t="n">
        <f aca="false">IF(R5&lt;launch_month,0,ROUNDUP(R13/r_n2,0))</f>
        <v>1</v>
      </c>
      <c r="S31" s="19" t="n">
        <f aca="false">IF(S5&lt;launch_month,0,ROUNDUP(S13/r_n2,0))</f>
        <v>1</v>
      </c>
      <c r="T31" s="19" t="n">
        <f aca="false">IF(T5&lt;launch_month,0,ROUNDUP(T13/r_n2,0))</f>
        <v>1</v>
      </c>
      <c r="U31" s="19" t="n">
        <f aca="false">IF(U5&lt;launch_month,0,ROUNDUP(U13/r_n2,0))</f>
        <v>1</v>
      </c>
      <c r="V31" s="19" t="n">
        <f aca="false">IF(V5&lt;launch_month,0,ROUNDUP(V13/r_n2,0))</f>
        <v>1</v>
      </c>
      <c r="W31" s="19" t="n">
        <f aca="false">IF(W5&lt;launch_month,0,ROUNDUP(W13/r_n2,0))</f>
        <v>1</v>
      </c>
      <c r="X31" s="19" t="n">
        <f aca="false">IF(X5&lt;launch_month,0,ROUNDUP(X13/r_n2,0))</f>
        <v>1</v>
      </c>
      <c r="Y31" s="19" t="n">
        <f aca="false">IF(Y5&lt;launch_month,0,ROUNDUP(Y13/r_n2,0))</f>
        <v>1</v>
      </c>
      <c r="Z31" s="19" t="n">
        <f aca="false">IF(Z5&lt;launch_month,0,ROUNDUP(Z13/r_n2,0))</f>
        <v>1</v>
      </c>
      <c r="AA31" s="19" t="n">
        <f aca="false">IF(AA5&lt;launch_month,0,ROUNDUP(AA13/r_n2,0))</f>
        <v>1</v>
      </c>
      <c r="AB31" s="19" t="n">
        <f aca="false">IF(AB5&lt;launch_month,0,ROUNDUP(AB13/r_n2,0))</f>
        <v>2</v>
      </c>
      <c r="AC31" s="19" t="n">
        <f aca="false">IF(AC5&lt;launch_month,0,ROUNDUP(AC13/r_n2,0))</f>
        <v>2</v>
      </c>
      <c r="AD31" s="19" t="n">
        <f aca="false">IF(AD5&lt;launch_month,0,ROUNDUP(AD13/r_n2,0))</f>
        <v>2</v>
      </c>
      <c r="AE31" s="19" t="n">
        <f aca="false">IF(AE5&lt;launch_month,0,ROUNDUP(AE13/r_n2,0))</f>
        <v>2</v>
      </c>
      <c r="AF31" s="19" t="n">
        <f aca="false">IF(AF5&lt;launch_month,0,ROUNDUP(AF13/r_n2,0))</f>
        <v>2</v>
      </c>
      <c r="AG31" s="19" t="n">
        <f aca="false">IF(AG5&lt;launch_month,0,ROUNDUP(AG13/r_n2,0))</f>
        <v>2</v>
      </c>
      <c r="AH31" s="19" t="n">
        <f aca="false">IF(AH5&lt;launch_month,0,ROUNDUP(AH13/r_n2,0))</f>
        <v>2</v>
      </c>
      <c r="AI31" s="19" t="n">
        <f aca="false">IF(AI5&lt;launch_month,0,ROUNDUP(AI13/r_n2,0))</f>
        <v>2</v>
      </c>
      <c r="AJ31" s="19" t="n">
        <f aca="false">IF(AJ5&lt;launch_month,0,ROUNDUP(AJ13/r_n2,0))</f>
        <v>2</v>
      </c>
      <c r="AK31" s="19" t="n">
        <f aca="false">IF(AK5&lt;launch_month,0,ROUNDUP(AK13/r_n2,0))</f>
        <v>2</v>
      </c>
      <c r="AL31" s="19" t="n">
        <f aca="false">IF(AL5&lt;launch_month,0,ROUNDUP(AL13/r_n2,0))</f>
        <v>3</v>
      </c>
      <c r="AM31" s="19" t="n">
        <f aca="false">IF(AM5&lt;launch_month,0,ROUNDUP(AM13/r_n2,0))</f>
        <v>3</v>
      </c>
      <c r="AN31" s="19" t="n">
        <f aca="false">IF(AN5&lt;launch_month,0,ROUNDUP(AN13/r_n2,0))</f>
        <v>3</v>
      </c>
      <c r="AO31" s="19" t="n">
        <f aca="false">IF(AO5&lt;launch_month,0,ROUNDUP(AO13/r_n2,0))</f>
        <v>3</v>
      </c>
      <c r="AP31" s="19" t="n">
        <f aca="false">IF(AP5&lt;launch_month,0,ROUNDUP(AP13/r_n2,0))</f>
        <v>3</v>
      </c>
      <c r="AQ31" s="19" t="n">
        <f aca="false">IF(AQ5&lt;launch_month,0,ROUNDUP(AQ13/r_n2,0))</f>
        <v>3</v>
      </c>
      <c r="AR31" s="19" t="n">
        <f aca="false">IF(AR5&lt;launch_month,0,ROUNDUP(AR13/r_n2,0))</f>
        <v>3</v>
      </c>
      <c r="AS31" s="19" t="n">
        <f aca="false">IF(AS5&lt;launch_month,0,ROUNDUP(AS13/r_n2,0))</f>
        <v>3</v>
      </c>
      <c r="AT31" s="19" t="n">
        <f aca="false">IF(AT5&lt;launch_month,0,ROUNDUP(AT13/r_n2,0))</f>
        <v>3</v>
      </c>
      <c r="AU31" s="19" t="n">
        <f aca="false">IF(AU5&lt;launch_month,0,ROUNDUP(AU13/r_n2,0))</f>
        <v>4</v>
      </c>
      <c r="AV31" s="19" t="n">
        <f aca="false">IF(AV5&lt;launch_month,0,ROUNDUP(AV13/r_n2,0))</f>
        <v>4</v>
      </c>
      <c r="AW31" s="19" t="n">
        <f aca="false">IF(AW5&lt;launch_month,0,ROUNDUP(AW13/r_n2,0))</f>
        <v>4</v>
      </c>
      <c r="AX31" s="19" t="n">
        <f aca="false">IF(AX5&lt;launch_month,0,ROUNDUP(AX13/r_n2,0))</f>
        <v>4</v>
      </c>
      <c r="AY31" s="19" t="n">
        <f aca="false">IF(AY5&lt;launch_month,0,ROUNDUP(AY13/r_n2,0))</f>
        <v>4</v>
      </c>
      <c r="AZ31" s="19" t="n">
        <f aca="false">IF(AZ5&lt;launch_month,0,ROUNDUP(AZ13/r_n2,0))</f>
        <v>4</v>
      </c>
      <c r="BA31" s="19" t="n">
        <f aca="false">IF(BA5&lt;launch_month,0,ROUNDUP(BA13/r_n2,0))</f>
        <v>4</v>
      </c>
      <c r="BB31" s="19" t="n">
        <f aca="false">IF(BB5&lt;launch_month,0,ROUNDUP(BB13/r_n2,0))</f>
        <v>4</v>
      </c>
      <c r="BC31" s="19" t="n">
        <f aca="false">IF(BC5&lt;launch_month,0,ROUNDUP(BC13/r_n2,0))</f>
        <v>5</v>
      </c>
      <c r="BD31" s="19" t="n">
        <f aca="false">IF(BD5&lt;launch_month,0,ROUNDUP(BD13/r_n2,0))</f>
        <v>5</v>
      </c>
      <c r="BE31" s="19" t="n">
        <f aca="false">IF(BE5&lt;launch_month,0,ROUNDUP(BE13/r_n2,0))</f>
        <v>5</v>
      </c>
      <c r="BF31" s="19" t="n">
        <f aca="false">IF(BF5&lt;launch_month,0,ROUNDUP(BF13/r_n2,0))</f>
        <v>5</v>
      </c>
      <c r="BG31" s="19" t="n">
        <f aca="false">IF(BG5&lt;launch_month,0,ROUNDUP(BG13/r_n2,0))</f>
        <v>5</v>
      </c>
      <c r="BH31" s="19" t="n">
        <f aca="false">IF(BH5&lt;launch_month,0,ROUNDUP(BH13/r_n2,0))</f>
        <v>5</v>
      </c>
      <c r="BI31" s="19" t="n">
        <f aca="false">IF(BI5&lt;launch_month,0,ROUNDUP(BI13/r_n2,0))</f>
        <v>5</v>
      </c>
      <c r="BJ31" s="19" t="n">
        <f aca="false">IF(BJ5&lt;launch_month,0,ROUNDUP(BJ13/r_n2,0))</f>
        <v>5</v>
      </c>
    </row>
    <row r="32" customFormat="false" ht="15" hidden="false" customHeight="false" outlineLevel="0" collapsed="false">
      <c r="A32" s="4" t="s">
        <v>334</v>
      </c>
      <c r="B32" s="4" t="s">
        <v>169</v>
      </c>
      <c r="C32" s="19" t="n">
        <f aca="false">IF(C5&lt;launch_month,0,ROUNDUP(C9/r_onb,0))</f>
        <v>0</v>
      </c>
      <c r="D32" s="19" t="n">
        <f aca="false">IF(D5&lt;launch_month,0,ROUNDUP(D9/r_onb,0))</f>
        <v>0</v>
      </c>
      <c r="E32" s="19" t="n">
        <f aca="false">IF(E5&lt;launch_month,0,ROUNDUP(E9/r_onb,0))</f>
        <v>0</v>
      </c>
      <c r="F32" s="19" t="n">
        <f aca="false">IF(F5&lt;launch_month,0,ROUNDUP(F9/r_onb,0))</f>
        <v>1</v>
      </c>
      <c r="G32" s="19" t="n">
        <f aca="false">IF(G5&lt;launch_month,0,ROUNDUP(G9/r_onb,0))</f>
        <v>1</v>
      </c>
      <c r="H32" s="19" t="n">
        <f aca="false">IF(H5&lt;launch_month,0,ROUNDUP(H9/r_onb,0))</f>
        <v>1</v>
      </c>
      <c r="I32" s="19" t="n">
        <f aca="false">IF(I5&lt;launch_month,0,ROUNDUP(I9/r_onb,0))</f>
        <v>1</v>
      </c>
      <c r="J32" s="19" t="n">
        <f aca="false">IF(J5&lt;launch_month,0,ROUNDUP(J9/r_onb,0))</f>
        <v>1</v>
      </c>
      <c r="K32" s="19" t="n">
        <f aca="false">IF(K5&lt;launch_month,0,ROUNDUP(K9/r_onb,0))</f>
        <v>1</v>
      </c>
      <c r="L32" s="19" t="n">
        <f aca="false">IF(L5&lt;launch_month,0,ROUNDUP(L9/r_onb,0))</f>
        <v>1</v>
      </c>
      <c r="M32" s="19" t="n">
        <f aca="false">IF(M5&lt;launch_month,0,ROUNDUP(M9/r_onb,0))</f>
        <v>1</v>
      </c>
      <c r="N32" s="19" t="n">
        <f aca="false">IF(N5&lt;launch_month,0,ROUNDUP(N9/r_onb,0))</f>
        <v>1</v>
      </c>
      <c r="O32" s="19" t="n">
        <f aca="false">IF(O5&lt;launch_month,0,ROUNDUP(O9/r_onb,0))</f>
        <v>2</v>
      </c>
      <c r="P32" s="19" t="n">
        <f aca="false">IF(P5&lt;launch_month,0,ROUNDUP(P9/r_onb,0))</f>
        <v>2</v>
      </c>
      <c r="Q32" s="19" t="n">
        <f aca="false">IF(Q5&lt;launch_month,0,ROUNDUP(Q9/r_onb,0))</f>
        <v>2</v>
      </c>
      <c r="R32" s="19" t="n">
        <f aca="false">IF(R5&lt;launch_month,0,ROUNDUP(R9/r_onb,0))</f>
        <v>2</v>
      </c>
      <c r="S32" s="19" t="n">
        <f aca="false">IF(S5&lt;launch_month,0,ROUNDUP(S9/r_onb,0))</f>
        <v>2</v>
      </c>
      <c r="T32" s="19" t="n">
        <f aca="false">IF(T5&lt;launch_month,0,ROUNDUP(T9/r_onb,0))</f>
        <v>2</v>
      </c>
      <c r="U32" s="19" t="n">
        <f aca="false">IF(U5&lt;launch_month,0,ROUNDUP(U9/r_onb,0))</f>
        <v>2</v>
      </c>
      <c r="V32" s="19" t="n">
        <f aca="false">IF(V5&lt;launch_month,0,ROUNDUP(V9/r_onb,0))</f>
        <v>2</v>
      </c>
      <c r="W32" s="19" t="n">
        <f aca="false">IF(W5&lt;launch_month,0,ROUNDUP(W9/r_onb,0))</f>
        <v>2</v>
      </c>
      <c r="X32" s="19" t="n">
        <f aca="false">IF(X5&lt;launch_month,0,ROUNDUP(X9/r_onb,0))</f>
        <v>2</v>
      </c>
      <c r="Y32" s="19" t="n">
        <f aca="false">IF(Y5&lt;launch_month,0,ROUNDUP(Y9/r_onb,0))</f>
        <v>2</v>
      </c>
      <c r="Z32" s="19" t="n">
        <f aca="false">IF(Z5&lt;launch_month,0,ROUNDUP(Z9/r_onb,0))</f>
        <v>2</v>
      </c>
      <c r="AA32" s="19" t="n">
        <f aca="false">IF(AA5&lt;launch_month,0,ROUNDUP(AA9/r_onb,0))</f>
        <v>3</v>
      </c>
      <c r="AB32" s="19" t="n">
        <f aca="false">IF(AB5&lt;launch_month,0,ROUNDUP(AB9/r_onb,0))</f>
        <v>3</v>
      </c>
      <c r="AC32" s="19" t="n">
        <f aca="false">IF(AC5&lt;launch_month,0,ROUNDUP(AC9/r_onb,0))</f>
        <v>3</v>
      </c>
      <c r="AD32" s="19" t="n">
        <f aca="false">IF(AD5&lt;launch_month,0,ROUNDUP(AD9/r_onb,0))</f>
        <v>3</v>
      </c>
      <c r="AE32" s="19" t="n">
        <f aca="false">IF(AE5&lt;launch_month,0,ROUNDUP(AE9/r_onb,0))</f>
        <v>3</v>
      </c>
      <c r="AF32" s="19" t="n">
        <f aca="false">IF(AF5&lt;launch_month,0,ROUNDUP(AF9/r_onb,0))</f>
        <v>3</v>
      </c>
      <c r="AG32" s="19" t="n">
        <f aca="false">IF(AG5&lt;launch_month,0,ROUNDUP(AG9/r_onb,0))</f>
        <v>3</v>
      </c>
      <c r="AH32" s="19" t="n">
        <f aca="false">IF(AH5&lt;launch_month,0,ROUNDUP(AH9/r_onb,0))</f>
        <v>3</v>
      </c>
      <c r="AI32" s="19" t="n">
        <f aca="false">IF(AI5&lt;launch_month,0,ROUNDUP(AI9/r_onb,0))</f>
        <v>3</v>
      </c>
      <c r="AJ32" s="19" t="n">
        <f aca="false">IF(AJ5&lt;launch_month,0,ROUNDUP(AJ9/r_onb,0))</f>
        <v>3</v>
      </c>
      <c r="AK32" s="19" t="n">
        <f aca="false">IF(AK5&lt;launch_month,0,ROUNDUP(AK9/r_onb,0))</f>
        <v>3</v>
      </c>
      <c r="AL32" s="19" t="n">
        <f aca="false">IF(AL5&lt;launch_month,0,ROUNDUP(AL9/r_onb,0))</f>
        <v>3</v>
      </c>
      <c r="AM32" s="19" t="n">
        <f aca="false">IF(AM5&lt;launch_month,0,ROUNDUP(AM9/r_onb,0))</f>
        <v>4</v>
      </c>
      <c r="AN32" s="19" t="n">
        <f aca="false">IF(AN5&lt;launch_month,0,ROUNDUP(AN9/r_onb,0))</f>
        <v>4</v>
      </c>
      <c r="AO32" s="19" t="n">
        <f aca="false">IF(AO5&lt;launch_month,0,ROUNDUP(AO9/r_onb,0))</f>
        <v>4</v>
      </c>
      <c r="AP32" s="19" t="n">
        <f aca="false">IF(AP5&lt;launch_month,0,ROUNDUP(AP9/r_onb,0))</f>
        <v>4</v>
      </c>
      <c r="AQ32" s="19" t="n">
        <f aca="false">IF(AQ5&lt;launch_month,0,ROUNDUP(AQ9/r_onb,0))</f>
        <v>4</v>
      </c>
      <c r="AR32" s="19" t="n">
        <f aca="false">IF(AR5&lt;launch_month,0,ROUNDUP(AR9/r_onb,0))</f>
        <v>4</v>
      </c>
      <c r="AS32" s="19" t="n">
        <f aca="false">IF(AS5&lt;launch_month,0,ROUNDUP(AS9/r_onb,0))</f>
        <v>4</v>
      </c>
      <c r="AT32" s="19" t="n">
        <f aca="false">IF(AT5&lt;launch_month,0,ROUNDUP(AT9/r_onb,0))</f>
        <v>4</v>
      </c>
      <c r="AU32" s="19" t="n">
        <f aca="false">IF(AU5&lt;launch_month,0,ROUNDUP(AU9/r_onb,0))</f>
        <v>4</v>
      </c>
      <c r="AV32" s="19" t="n">
        <f aca="false">IF(AV5&lt;launch_month,0,ROUNDUP(AV9/r_onb,0))</f>
        <v>4</v>
      </c>
      <c r="AW32" s="19" t="n">
        <f aca="false">IF(AW5&lt;launch_month,0,ROUNDUP(AW9/r_onb,0))</f>
        <v>4</v>
      </c>
      <c r="AX32" s="19" t="n">
        <f aca="false">IF(AX5&lt;launch_month,0,ROUNDUP(AX9/r_onb,0))</f>
        <v>4</v>
      </c>
      <c r="AY32" s="19" t="n">
        <f aca="false">IF(AY5&lt;launch_month,0,ROUNDUP(AY9/r_onb,0))</f>
        <v>4</v>
      </c>
      <c r="AZ32" s="19" t="n">
        <f aca="false">IF(AZ5&lt;launch_month,0,ROUNDUP(AZ9/r_onb,0))</f>
        <v>4</v>
      </c>
      <c r="BA32" s="19" t="n">
        <f aca="false">IF(BA5&lt;launch_month,0,ROUNDUP(BA9/r_onb,0))</f>
        <v>4</v>
      </c>
      <c r="BB32" s="19" t="n">
        <f aca="false">IF(BB5&lt;launch_month,0,ROUNDUP(BB9/r_onb,0))</f>
        <v>4</v>
      </c>
      <c r="BC32" s="19" t="n">
        <f aca="false">IF(BC5&lt;launch_month,0,ROUNDUP(BC9/r_onb,0))</f>
        <v>4</v>
      </c>
      <c r="BD32" s="19" t="n">
        <f aca="false">IF(BD5&lt;launch_month,0,ROUNDUP(BD9/r_onb,0))</f>
        <v>4</v>
      </c>
      <c r="BE32" s="19" t="n">
        <f aca="false">IF(BE5&lt;launch_month,0,ROUNDUP(BE9/r_onb,0))</f>
        <v>4</v>
      </c>
      <c r="BF32" s="19" t="n">
        <f aca="false">IF(BF5&lt;launch_month,0,ROUNDUP(BF9/r_onb,0))</f>
        <v>4</v>
      </c>
      <c r="BG32" s="19" t="n">
        <f aca="false">IF(BG5&lt;launch_month,0,ROUNDUP(BG9/r_onb,0))</f>
        <v>4</v>
      </c>
      <c r="BH32" s="19" t="n">
        <f aca="false">IF(BH5&lt;launch_month,0,ROUNDUP(BH9/r_onb,0))</f>
        <v>4</v>
      </c>
      <c r="BI32" s="19" t="n">
        <f aca="false">IF(BI5&lt;launch_month,0,ROUNDUP(BI9/r_onb,0))</f>
        <v>4</v>
      </c>
      <c r="BJ32" s="19" t="n">
        <f aca="false">IF(BJ5&lt;launch_month,0,ROUNDUP(BJ9/r_onb,0))</f>
        <v>4</v>
      </c>
    </row>
    <row r="33" customFormat="false" ht="15" hidden="false" customHeight="false" outlineLevel="0" collapsed="false">
      <c r="A33" s="5" t="s">
        <v>520</v>
      </c>
      <c r="B33" s="4" t="s">
        <v>169</v>
      </c>
      <c r="C33" s="25" t="n">
        <f aca="false">C29+C30+C31+C32</f>
        <v>0</v>
      </c>
      <c r="D33" s="25" t="n">
        <f aca="false">D29+D30+D31+D32</f>
        <v>0</v>
      </c>
      <c r="E33" s="25" t="n">
        <f aca="false">E29+E30+E31+E32</f>
        <v>0</v>
      </c>
      <c r="F33" s="25" t="n">
        <f aca="false">F29+F30+F31+F32</f>
        <v>3</v>
      </c>
      <c r="G33" s="25" t="n">
        <f aca="false">G29+G30+G31+G32</f>
        <v>3</v>
      </c>
      <c r="H33" s="25" t="n">
        <f aca="false">H29+H30+H31+H32</f>
        <v>3</v>
      </c>
      <c r="I33" s="25" t="n">
        <f aca="false">I29+I30+I31+I32</f>
        <v>3</v>
      </c>
      <c r="J33" s="25" t="n">
        <f aca="false">J29+J30+J31+J32</f>
        <v>3</v>
      </c>
      <c r="K33" s="25" t="n">
        <f aca="false">K29+K30+K31+K32</f>
        <v>3</v>
      </c>
      <c r="L33" s="25" t="n">
        <f aca="false">L29+L30+L31+L32</f>
        <v>3</v>
      </c>
      <c r="M33" s="25" t="n">
        <f aca="false">M29+M30+M31+M32</f>
        <v>3</v>
      </c>
      <c r="N33" s="25" t="n">
        <f aca="false">N29+N30+N31+N32</f>
        <v>3</v>
      </c>
      <c r="O33" s="25" t="n">
        <f aca="false">O29+O30+O31+O32</f>
        <v>5</v>
      </c>
      <c r="P33" s="25" t="n">
        <f aca="false">P29+P30+P31+P32</f>
        <v>5</v>
      </c>
      <c r="Q33" s="25" t="n">
        <f aca="false">Q29+Q30+Q31+Q32</f>
        <v>5</v>
      </c>
      <c r="R33" s="25" t="n">
        <f aca="false">R29+R30+R31+R32</f>
        <v>5</v>
      </c>
      <c r="S33" s="25" t="n">
        <f aca="false">S29+S30+S31+S32</f>
        <v>5</v>
      </c>
      <c r="T33" s="25" t="n">
        <f aca="false">T29+T30+T31+T32</f>
        <v>5</v>
      </c>
      <c r="U33" s="25" t="n">
        <f aca="false">U29+U30+U31+U32</f>
        <v>6</v>
      </c>
      <c r="V33" s="25" t="n">
        <f aca="false">V29+V30+V31+V32</f>
        <v>6</v>
      </c>
      <c r="W33" s="25" t="n">
        <f aca="false">W29+W30+W31+W32</f>
        <v>6</v>
      </c>
      <c r="X33" s="25" t="n">
        <f aca="false">X29+X30+X31+X32</f>
        <v>6</v>
      </c>
      <c r="Y33" s="25" t="n">
        <f aca="false">Y29+Y30+Y31+Y32</f>
        <v>6</v>
      </c>
      <c r="Z33" s="25" t="n">
        <f aca="false">Z29+Z30+Z31+Z32</f>
        <v>7</v>
      </c>
      <c r="AA33" s="25" t="n">
        <f aca="false">AA29+AA30+AA31+AA32</f>
        <v>8</v>
      </c>
      <c r="AB33" s="25" t="n">
        <f aca="false">AB29+AB30+AB31+AB32</f>
        <v>9</v>
      </c>
      <c r="AC33" s="25" t="n">
        <f aca="false">AC29+AC30+AC31+AC32</f>
        <v>10</v>
      </c>
      <c r="AD33" s="25" t="n">
        <f aca="false">AD29+AD30+AD31+AD32</f>
        <v>10</v>
      </c>
      <c r="AE33" s="25" t="n">
        <f aca="false">AE29+AE30+AE31+AE32</f>
        <v>10</v>
      </c>
      <c r="AF33" s="25" t="n">
        <f aca="false">AF29+AF30+AF31+AF32</f>
        <v>10</v>
      </c>
      <c r="AG33" s="25" t="n">
        <f aca="false">AG29+AG30+AG31+AG32</f>
        <v>10</v>
      </c>
      <c r="AH33" s="25" t="n">
        <f aca="false">AH29+AH30+AH31+AH32</f>
        <v>10</v>
      </c>
      <c r="AI33" s="25" t="n">
        <f aca="false">AI29+AI30+AI31+AI32</f>
        <v>12</v>
      </c>
      <c r="AJ33" s="25" t="n">
        <f aca="false">AJ29+AJ30+AJ31+AJ32</f>
        <v>12</v>
      </c>
      <c r="AK33" s="25" t="n">
        <f aca="false">AK29+AK30+AK31+AK32</f>
        <v>12</v>
      </c>
      <c r="AL33" s="25" t="n">
        <f aca="false">AL29+AL30+AL31+AL32</f>
        <v>13</v>
      </c>
      <c r="AM33" s="25" t="n">
        <f aca="false">AM29+AM30+AM31+AM32</f>
        <v>14</v>
      </c>
      <c r="AN33" s="25" t="n">
        <f aca="false">AN29+AN30+AN31+AN32</f>
        <v>15</v>
      </c>
      <c r="AO33" s="25" t="n">
        <f aca="false">AO29+AO30+AO31+AO32</f>
        <v>15</v>
      </c>
      <c r="AP33" s="25" t="n">
        <f aca="false">AP29+AP30+AP31+AP32</f>
        <v>15</v>
      </c>
      <c r="AQ33" s="25" t="n">
        <f aca="false">AQ29+AQ30+AQ31+AQ32</f>
        <v>16</v>
      </c>
      <c r="AR33" s="25" t="n">
        <f aca="false">AR29+AR30+AR31+AR32</f>
        <v>16</v>
      </c>
      <c r="AS33" s="25" t="n">
        <f aca="false">AS29+AS30+AS31+AS32</f>
        <v>17</v>
      </c>
      <c r="AT33" s="25" t="n">
        <f aca="false">AT29+AT30+AT31+AT32</f>
        <v>17</v>
      </c>
      <c r="AU33" s="25" t="n">
        <f aca="false">AU29+AU30+AU31+AU32</f>
        <v>18</v>
      </c>
      <c r="AV33" s="25" t="n">
        <f aca="false">AV29+AV30+AV31+AV32</f>
        <v>18</v>
      </c>
      <c r="AW33" s="25" t="n">
        <f aca="false">AW29+AW30+AW31+AW32</f>
        <v>18</v>
      </c>
      <c r="AX33" s="25" t="n">
        <f aca="false">AX29+AX30+AX31+AX32</f>
        <v>20</v>
      </c>
      <c r="AY33" s="25" t="n">
        <f aca="false">AY29+AY30+AY31+AY32</f>
        <v>20</v>
      </c>
      <c r="AZ33" s="25" t="n">
        <f aca="false">AZ29+AZ30+AZ31+AZ32</f>
        <v>20</v>
      </c>
      <c r="BA33" s="25" t="n">
        <f aca="false">BA29+BA30+BA31+BA32</f>
        <v>20</v>
      </c>
      <c r="BB33" s="25" t="n">
        <f aca="false">BB29+BB30+BB31+BB32</f>
        <v>20</v>
      </c>
      <c r="BC33" s="25" t="n">
        <f aca="false">BC29+BC30+BC31+BC32</f>
        <v>22</v>
      </c>
      <c r="BD33" s="25" t="n">
        <f aca="false">BD29+BD30+BD31+BD32</f>
        <v>22</v>
      </c>
      <c r="BE33" s="25" t="n">
        <f aca="false">BE29+BE30+BE31+BE32</f>
        <v>23</v>
      </c>
      <c r="BF33" s="25" t="n">
        <f aca="false">BF29+BF30+BF31+BF32</f>
        <v>23</v>
      </c>
      <c r="BG33" s="25" t="n">
        <f aca="false">BG29+BG30+BG31+BG32</f>
        <v>23</v>
      </c>
      <c r="BH33" s="25" t="n">
        <f aca="false">BH29+BH30+BH31+BH32</f>
        <v>24</v>
      </c>
      <c r="BI33" s="25" t="n">
        <f aca="false">BI29+BI30+BI31+BI32</f>
        <v>24</v>
      </c>
      <c r="BJ33" s="25" t="n">
        <f aca="false">BJ29+BJ30+BJ31+BJ32</f>
        <v>24</v>
      </c>
    </row>
    <row r="34" customFormat="false" ht="15" hidden="false" customHeight="false" outlineLevel="0" collapsed="false">
      <c r="A34" s="7" t="s">
        <v>521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customFormat="false" ht="15" hidden="false" customHeight="false" outlineLevel="0" collapsed="false">
      <c r="A35" s="4" t="s">
        <v>522</v>
      </c>
      <c r="B35" s="4" t="s">
        <v>67</v>
      </c>
      <c r="C35" s="19" t="n">
        <f aca="false">-C12*infra_var*C7</f>
        <v>-0</v>
      </c>
      <c r="D35" s="19" t="n">
        <f aca="false">-D12*infra_var*D7</f>
        <v>-0</v>
      </c>
      <c r="E35" s="19" t="n">
        <f aca="false">-E12*infra_var*E7</f>
        <v>-0</v>
      </c>
      <c r="F35" s="19" t="n">
        <f aca="false">-F12*infra_var*F7</f>
        <v>-112.5</v>
      </c>
      <c r="G35" s="19" t="n">
        <f aca="false">-G12*infra_var*G7</f>
        <v>-336.15</v>
      </c>
      <c r="H35" s="19" t="n">
        <f aca="false">-H12*infra_var*H7</f>
        <v>-557.1162</v>
      </c>
      <c r="I35" s="19" t="n">
        <f aca="false">-I12*infra_var*I7</f>
        <v>-775.4308056</v>
      </c>
      <c r="J35" s="19" t="n">
        <f aca="false">-J12*infra_var*J7</f>
        <v>-991.1256359328</v>
      </c>
      <c r="K35" s="19" t="n">
        <f aca="false">-K12*infra_var*K7</f>
        <v>-1204.23212830161</v>
      </c>
      <c r="L35" s="19" t="n">
        <f aca="false">-L12*infra_var*L7</f>
        <v>-1414.78134276199</v>
      </c>
      <c r="M35" s="19" t="n">
        <f aca="false">-M12*infra_var*M7</f>
        <v>-1622.80396664884</v>
      </c>
      <c r="N35" s="19" t="n">
        <f aca="false">-N12*infra_var*N7</f>
        <v>-1828.33031904906</v>
      </c>
      <c r="O35" s="19" t="n">
        <f aca="false">-O12*infra_var*O7</f>
        <v>-2487.33487298149</v>
      </c>
      <c r="P35" s="19" t="n">
        <f aca="false">-P12*infra_var*P7</f>
        <v>-3402.48685450571</v>
      </c>
      <c r="Q35" s="19" t="n">
        <f aca="false">-Q12*infra_var*Q7</f>
        <v>-4306.65701225165</v>
      </c>
      <c r="R35" s="19" t="n">
        <f aca="false">-R12*infra_var*R7</f>
        <v>-5199.97712810463</v>
      </c>
      <c r="S35" s="19" t="n">
        <f aca="false">-S12*infra_var*S7</f>
        <v>-6082.57740256737</v>
      </c>
      <c r="T35" s="19" t="n">
        <f aca="false">-T12*infra_var*T7</f>
        <v>-6954.58647373656</v>
      </c>
      <c r="U35" s="19" t="n">
        <f aca="false">-U12*infra_var*U7</f>
        <v>-7816.13143605172</v>
      </c>
      <c r="V35" s="19" t="n">
        <f aca="false">-V12*infra_var*V7</f>
        <v>-8667.3378588191</v>
      </c>
      <c r="W35" s="19" t="n">
        <f aca="false">-W12*infra_var*W7</f>
        <v>-9508.32980451328</v>
      </c>
      <c r="X35" s="19" t="n">
        <f aca="false">-X12*infra_var*X7</f>
        <v>-10339.2298468591</v>
      </c>
      <c r="Y35" s="19" t="n">
        <f aca="false">-Y12*infra_var*Y7</f>
        <v>-11160.1590886968</v>
      </c>
      <c r="Z35" s="19" t="n">
        <f aca="false">-Z12*infra_var*Z7</f>
        <v>-11971.2371796324</v>
      </c>
      <c r="AA35" s="19" t="n">
        <f aca="false">-AA12*infra_var*AA7</f>
        <v>-13741.9614501507</v>
      </c>
      <c r="AB35" s="19" t="n">
        <f aca="false">-AB12*infra_var*AB7</f>
        <v>-15230.8079127489</v>
      </c>
      <c r="AC35" s="19" t="n">
        <f aca="false">-AC12*infra_var*AC7</f>
        <v>-16701.7882177959</v>
      </c>
      <c r="AD35" s="19" t="n">
        <f aca="false">-AD12*infra_var*AD7</f>
        <v>-18155.1167591823</v>
      </c>
      <c r="AE35" s="19" t="n">
        <f aca="false">-AE12*infra_var*AE7</f>
        <v>-19591.0053580722</v>
      </c>
      <c r="AF35" s="19" t="n">
        <f aca="false">-AF12*infra_var*AF7</f>
        <v>-21009.6632937753</v>
      </c>
      <c r="AG35" s="19" t="n">
        <f aca="false">-AG12*infra_var*AG7</f>
        <v>-22411.29733425</v>
      </c>
      <c r="AH35" s="19" t="n">
        <f aca="false">-AH12*infra_var*AH7</f>
        <v>-23796.111766239</v>
      </c>
      <c r="AI35" s="19" t="n">
        <f aca="false">-AI12*infra_var*AI7</f>
        <v>-25164.3084250441</v>
      </c>
      <c r="AJ35" s="19" t="n">
        <f aca="false">-AJ12*infra_var*AJ7</f>
        <v>-26516.0867239436</v>
      </c>
      <c r="AK35" s="19" t="n">
        <f aca="false">-AK12*infra_var*AK7</f>
        <v>-27851.6436832563</v>
      </c>
      <c r="AL35" s="19" t="n">
        <f aca="false">-AL12*infra_var*AL7</f>
        <v>-29171.1739590572</v>
      </c>
      <c r="AM35" s="19" t="n">
        <f aca="false">-AM12*infra_var*AM7</f>
        <v>-32259.0789901259</v>
      </c>
      <c r="AN35" s="19" t="n">
        <f aca="false">-AN12*infra_var*AN7</f>
        <v>-34129.3387922444</v>
      </c>
      <c r="AO35" s="19" t="n">
        <f aca="false">-AO12*infra_var*AO7</f>
        <v>-35977.1554767375</v>
      </c>
      <c r="AP35" s="19" t="n">
        <f aca="false">-AP12*infra_var*AP7</f>
        <v>-37802.7983610167</v>
      </c>
      <c r="AQ35" s="19" t="n">
        <f aca="false">-AQ12*infra_var*AQ7</f>
        <v>-39606.5335306845</v>
      </c>
      <c r="AR35" s="19" t="n">
        <f aca="false">-AR12*infra_var*AR7</f>
        <v>-41388.6238783163</v>
      </c>
      <c r="AS35" s="19" t="n">
        <f aca="false">-AS12*infra_var*AS7</f>
        <v>-43149.3291417765</v>
      </c>
      <c r="AT35" s="19" t="n">
        <f aca="false">-AT12*infra_var*AT7</f>
        <v>-44888.9059420751</v>
      </c>
      <c r="AU35" s="19" t="n">
        <f aca="false">-AU12*infra_var*AU7</f>
        <v>-46607.6078207702</v>
      </c>
      <c r="AV35" s="19" t="n">
        <f aca="false">-AV12*infra_var*AV7</f>
        <v>-48305.685276921</v>
      </c>
      <c r="AW35" s="19" t="n">
        <f aca="false">-AW12*infra_var*AW7</f>
        <v>-49983.3858035979</v>
      </c>
      <c r="AX35" s="19" t="n">
        <f aca="false">-AX12*infra_var*AX7</f>
        <v>-51640.9539239548</v>
      </c>
      <c r="AY35" s="19" t="n">
        <f aca="false">-AY12*infra_var*AY7</f>
        <v>-56124.8887257107</v>
      </c>
      <c r="AZ35" s="19" t="n">
        <f aca="false">-AZ12*infra_var*AZ7</f>
        <v>-58186.2791235022</v>
      </c>
      <c r="BA35" s="19" t="n">
        <f aca="false">-BA12*infra_var*BA7</f>
        <v>-60222.9328365201</v>
      </c>
      <c r="BB35" s="19" t="n">
        <f aca="false">-BB12*infra_var*BB7</f>
        <v>-62235.1467049819</v>
      </c>
      <c r="BC35" s="19" t="n">
        <f aca="false">-BC12*infra_var*BC7</f>
        <v>-64223.2140070221</v>
      </c>
      <c r="BD35" s="19" t="n">
        <f aca="false">-BD12*infra_var*BD7</f>
        <v>-66187.4245014378</v>
      </c>
      <c r="BE35" s="19" t="n">
        <f aca="false">-BE12*infra_var*BE7</f>
        <v>-68128.0644699206</v>
      </c>
      <c r="BF35" s="19" t="n">
        <f aca="false">-BF12*infra_var*BF7</f>
        <v>-70045.4167587815</v>
      </c>
      <c r="BG35" s="19" t="n">
        <f aca="false">-BG12*infra_var*BG7</f>
        <v>-71939.7608201762</v>
      </c>
      <c r="BH35" s="19" t="n">
        <f aca="false">-BH12*infra_var*BH7</f>
        <v>-73811.372752834</v>
      </c>
      <c r="BI35" s="19" t="n">
        <f aca="false">-BI12*infra_var*BI7</f>
        <v>-75660.5253423</v>
      </c>
      <c r="BJ35" s="19" t="n">
        <f aca="false">-BJ12*infra_var*BJ7</f>
        <v>-77487.4881006924</v>
      </c>
    </row>
    <row r="36" customFormat="false" ht="15" hidden="false" customHeight="false" outlineLevel="0" collapsed="false">
      <c r="A36" s="4" t="s">
        <v>523</v>
      </c>
      <c r="B36" s="4" t="s">
        <v>67</v>
      </c>
      <c r="C36" s="19" t="n">
        <f aca="false">-C12*msg*C7</f>
        <v>-0</v>
      </c>
      <c r="D36" s="19" t="n">
        <f aca="false">-D12*msg*D7</f>
        <v>-0</v>
      </c>
      <c r="E36" s="19" t="n">
        <f aca="false">-E12*msg*E7</f>
        <v>-0</v>
      </c>
      <c r="F36" s="19" t="n">
        <f aca="false">-F12*msg*F7</f>
        <v>-45</v>
      </c>
      <c r="G36" s="19" t="n">
        <f aca="false">-G12*msg*G7</f>
        <v>-134.46</v>
      </c>
      <c r="H36" s="19" t="n">
        <f aca="false">-H12*msg*H7</f>
        <v>-222.84648</v>
      </c>
      <c r="I36" s="19" t="n">
        <f aca="false">-I12*msg*I7</f>
        <v>-310.17232224</v>
      </c>
      <c r="J36" s="19" t="n">
        <f aca="false">-J12*msg*J7</f>
        <v>-396.45025437312</v>
      </c>
      <c r="K36" s="19" t="n">
        <f aca="false">-K12*msg*K7</f>
        <v>-481.692851320643</v>
      </c>
      <c r="L36" s="19" t="n">
        <f aca="false">-L12*msg*L7</f>
        <v>-565.912537104795</v>
      </c>
      <c r="M36" s="19" t="n">
        <f aca="false">-M12*msg*M7</f>
        <v>-649.121586659538</v>
      </c>
      <c r="N36" s="19" t="n">
        <f aca="false">-N12*msg*N7</f>
        <v>-731.332127619623</v>
      </c>
      <c r="O36" s="19" t="n">
        <f aca="false">-O12*msg*O7</f>
        <v>-994.933949192597</v>
      </c>
      <c r="P36" s="19" t="n">
        <f aca="false">-P12*msg*P7</f>
        <v>-1360.99474180229</v>
      </c>
      <c r="Q36" s="19" t="n">
        <f aca="false">-Q12*msg*Q7</f>
        <v>-1722.66280490066</v>
      </c>
      <c r="R36" s="19" t="n">
        <f aca="false">-R12*msg*R7</f>
        <v>-2079.99085124185</v>
      </c>
      <c r="S36" s="19" t="n">
        <f aca="false">-S12*msg*S7</f>
        <v>-2433.03096102695</v>
      </c>
      <c r="T36" s="19" t="n">
        <f aca="false">-T12*msg*T7</f>
        <v>-2781.83458949462</v>
      </c>
      <c r="U36" s="19" t="n">
        <f aca="false">-U12*msg*U7</f>
        <v>-3126.45257442069</v>
      </c>
      <c r="V36" s="19" t="n">
        <f aca="false">-V12*msg*V7</f>
        <v>-3466.93514352764</v>
      </c>
      <c r="W36" s="19" t="n">
        <f aca="false">-W12*msg*W7</f>
        <v>-3803.33192180531</v>
      </c>
      <c r="X36" s="19" t="n">
        <f aca="false">-X12*msg*X7</f>
        <v>-4135.69193874365</v>
      </c>
      <c r="Y36" s="19" t="n">
        <f aca="false">-Y12*msg*Y7</f>
        <v>-4464.06363547872</v>
      </c>
      <c r="Z36" s="19" t="n">
        <f aca="false">-Z12*msg*Z7</f>
        <v>-4788.49487185298</v>
      </c>
      <c r="AA36" s="19" t="n">
        <f aca="false">-AA12*msg*AA7</f>
        <v>-5496.78458006028</v>
      </c>
      <c r="AB36" s="19" t="n">
        <f aca="false">-AB12*msg*AB7</f>
        <v>-6092.32316509956</v>
      </c>
      <c r="AC36" s="19" t="n">
        <f aca="false">-AC12*msg*AC7</f>
        <v>-6680.71528711836</v>
      </c>
      <c r="AD36" s="19" t="n">
        <f aca="false">-AD12*msg*AD7</f>
        <v>-7262.04670367294</v>
      </c>
      <c r="AE36" s="19" t="n">
        <f aca="false">-AE12*msg*AE7</f>
        <v>-7836.40214322887</v>
      </c>
      <c r="AF36" s="19" t="n">
        <f aca="false">-AF12*msg*AF7</f>
        <v>-8403.86531751012</v>
      </c>
      <c r="AG36" s="19" t="n">
        <f aca="false">-AG12*msg*AG7</f>
        <v>-8964.5189337</v>
      </c>
      <c r="AH36" s="19" t="n">
        <f aca="false">-AH12*msg*AH7</f>
        <v>-9518.4447064956</v>
      </c>
      <c r="AI36" s="19" t="n">
        <f aca="false">-AI12*msg*AI7</f>
        <v>-10065.7233700177</v>
      </c>
      <c r="AJ36" s="19" t="n">
        <f aca="false">-AJ12*msg*AJ7</f>
        <v>-10606.4346895774</v>
      </c>
      <c r="AK36" s="19" t="n">
        <f aca="false">-AK12*msg*AK7</f>
        <v>-11140.6574733025</v>
      </c>
      <c r="AL36" s="19" t="n">
        <f aca="false">-AL12*msg*AL7</f>
        <v>-11668.4695836229</v>
      </c>
      <c r="AM36" s="19" t="n">
        <f aca="false">-AM12*msg*AM7</f>
        <v>-12903.6315960504</v>
      </c>
      <c r="AN36" s="19" t="n">
        <f aca="false">-AN12*msg*AN7</f>
        <v>-13651.7355168978</v>
      </c>
      <c r="AO36" s="19" t="n">
        <f aca="false">-AO12*msg*AO7</f>
        <v>-14390.862190695</v>
      </c>
      <c r="AP36" s="19" t="n">
        <f aca="false">-AP12*msg*AP7</f>
        <v>-15121.1193444067</v>
      </c>
      <c r="AQ36" s="19" t="n">
        <f aca="false">-AQ12*msg*AQ7</f>
        <v>-15842.6134122738</v>
      </c>
      <c r="AR36" s="19" t="n">
        <f aca="false">-AR12*msg*AR7</f>
        <v>-16555.4495513265</v>
      </c>
      <c r="AS36" s="19" t="n">
        <f aca="false">-AS12*msg*AS7</f>
        <v>-17259.7316567106</v>
      </c>
      <c r="AT36" s="19" t="n">
        <f aca="false">-AT12*msg*AT7</f>
        <v>-17955.5623768301</v>
      </c>
      <c r="AU36" s="19" t="n">
        <f aca="false">-AU12*msg*AU7</f>
        <v>-18643.0431283081</v>
      </c>
      <c r="AV36" s="19" t="n">
        <f aca="false">-AV12*msg*AV7</f>
        <v>-19322.2741107684</v>
      </c>
      <c r="AW36" s="19" t="n">
        <f aca="false">-AW12*msg*AW7</f>
        <v>-19993.3543214392</v>
      </c>
      <c r="AX36" s="19" t="n">
        <f aca="false">-AX12*msg*AX7</f>
        <v>-20656.3815695819</v>
      </c>
      <c r="AY36" s="19" t="n">
        <f aca="false">-AY12*msg*AY7</f>
        <v>-22449.9554902843</v>
      </c>
      <c r="AZ36" s="19" t="n">
        <f aca="false">-AZ12*msg*AZ7</f>
        <v>-23274.5116494009</v>
      </c>
      <c r="BA36" s="19" t="n">
        <f aca="false">-BA12*msg*BA7</f>
        <v>-24089.1731346081</v>
      </c>
      <c r="BB36" s="19" t="n">
        <f aca="false">-BB12*msg*BB7</f>
        <v>-24894.0586819928</v>
      </c>
      <c r="BC36" s="19" t="n">
        <f aca="false">-BC12*msg*BC7</f>
        <v>-25689.2856028088</v>
      </c>
      <c r="BD36" s="19" t="n">
        <f aca="false">-BD12*msg*BD7</f>
        <v>-26474.9698005751</v>
      </c>
      <c r="BE36" s="19" t="n">
        <f aca="false">-BE12*msg*BE7</f>
        <v>-27251.2257879682</v>
      </c>
      <c r="BF36" s="19" t="n">
        <f aca="false">-BF12*msg*BF7</f>
        <v>-28018.1667035126</v>
      </c>
      <c r="BG36" s="19" t="n">
        <f aca="false">-BG12*msg*BG7</f>
        <v>-28775.9043280705</v>
      </c>
      <c r="BH36" s="19" t="n">
        <f aca="false">-BH12*msg*BH7</f>
        <v>-29524.5491011336</v>
      </c>
      <c r="BI36" s="19" t="n">
        <f aca="false">-BI12*msg*BI7</f>
        <v>-30264.21013692</v>
      </c>
      <c r="BJ36" s="19" t="n">
        <f aca="false">-BJ12*msg*BJ7</f>
        <v>-30994.995240277</v>
      </c>
    </row>
    <row r="37" customFormat="false" ht="15" hidden="false" customHeight="false" outlineLevel="0" collapsed="false">
      <c r="A37" s="4" t="s">
        <v>524</v>
      </c>
      <c r="B37" s="4" t="s">
        <v>67</v>
      </c>
      <c r="C37" s="19" t="n">
        <f aca="false">-infra_fix*C7</f>
        <v>-4000</v>
      </c>
      <c r="D37" s="19" t="n">
        <f aca="false">-infra_fix*D7</f>
        <v>-4000</v>
      </c>
      <c r="E37" s="19" t="n">
        <f aca="false">-infra_fix*E7</f>
        <v>-4000</v>
      </c>
      <c r="F37" s="19" t="n">
        <f aca="false">-infra_fix*F7</f>
        <v>-4000</v>
      </c>
      <c r="G37" s="19" t="n">
        <f aca="false">-infra_fix*G7</f>
        <v>-4000</v>
      </c>
      <c r="H37" s="19" t="n">
        <f aca="false">-infra_fix*H7</f>
        <v>-4000</v>
      </c>
      <c r="I37" s="19" t="n">
        <f aca="false">-infra_fix*I7</f>
        <v>-4000</v>
      </c>
      <c r="J37" s="19" t="n">
        <f aca="false">-infra_fix*J7</f>
        <v>-4000</v>
      </c>
      <c r="K37" s="19" t="n">
        <f aca="false">-infra_fix*K7</f>
        <v>-4000</v>
      </c>
      <c r="L37" s="19" t="n">
        <f aca="false">-infra_fix*L7</f>
        <v>-4000</v>
      </c>
      <c r="M37" s="19" t="n">
        <f aca="false">-infra_fix*M7</f>
        <v>-4000</v>
      </c>
      <c r="N37" s="19" t="n">
        <f aca="false">-infra_fix*N7</f>
        <v>-4000</v>
      </c>
      <c r="O37" s="19" t="n">
        <f aca="false">-infra_fix*O7</f>
        <v>-4200</v>
      </c>
      <c r="P37" s="19" t="n">
        <f aca="false">-infra_fix*P7</f>
        <v>-4200</v>
      </c>
      <c r="Q37" s="19" t="n">
        <f aca="false">-infra_fix*Q7</f>
        <v>-4200</v>
      </c>
      <c r="R37" s="19" t="n">
        <f aca="false">-infra_fix*R7</f>
        <v>-4200</v>
      </c>
      <c r="S37" s="19" t="n">
        <f aca="false">-infra_fix*S7</f>
        <v>-4200</v>
      </c>
      <c r="T37" s="19" t="n">
        <f aca="false">-infra_fix*T7</f>
        <v>-4200</v>
      </c>
      <c r="U37" s="19" t="n">
        <f aca="false">-infra_fix*U7</f>
        <v>-4200</v>
      </c>
      <c r="V37" s="19" t="n">
        <f aca="false">-infra_fix*V7</f>
        <v>-4200</v>
      </c>
      <c r="W37" s="19" t="n">
        <f aca="false">-infra_fix*W7</f>
        <v>-4200</v>
      </c>
      <c r="X37" s="19" t="n">
        <f aca="false">-infra_fix*X7</f>
        <v>-4200</v>
      </c>
      <c r="Y37" s="19" t="n">
        <f aca="false">-infra_fix*Y7</f>
        <v>-4200</v>
      </c>
      <c r="Z37" s="19" t="n">
        <f aca="false">-infra_fix*Z7</f>
        <v>-4200</v>
      </c>
      <c r="AA37" s="19" t="n">
        <f aca="false">-infra_fix*AA7</f>
        <v>-4410</v>
      </c>
      <c r="AB37" s="19" t="n">
        <f aca="false">-infra_fix*AB7</f>
        <v>-4410</v>
      </c>
      <c r="AC37" s="19" t="n">
        <f aca="false">-infra_fix*AC7</f>
        <v>-4410</v>
      </c>
      <c r="AD37" s="19" t="n">
        <f aca="false">-infra_fix*AD7</f>
        <v>-4410</v>
      </c>
      <c r="AE37" s="19" t="n">
        <f aca="false">-infra_fix*AE7</f>
        <v>-4410</v>
      </c>
      <c r="AF37" s="19" t="n">
        <f aca="false">-infra_fix*AF7</f>
        <v>-4410</v>
      </c>
      <c r="AG37" s="19" t="n">
        <f aca="false">-infra_fix*AG7</f>
        <v>-4410</v>
      </c>
      <c r="AH37" s="19" t="n">
        <f aca="false">-infra_fix*AH7</f>
        <v>-4410</v>
      </c>
      <c r="AI37" s="19" t="n">
        <f aca="false">-infra_fix*AI7</f>
        <v>-4410</v>
      </c>
      <c r="AJ37" s="19" t="n">
        <f aca="false">-infra_fix*AJ7</f>
        <v>-4410</v>
      </c>
      <c r="AK37" s="19" t="n">
        <f aca="false">-infra_fix*AK7</f>
        <v>-4410</v>
      </c>
      <c r="AL37" s="19" t="n">
        <f aca="false">-infra_fix*AL7</f>
        <v>-4410</v>
      </c>
      <c r="AM37" s="19" t="n">
        <f aca="false">-infra_fix*AM7</f>
        <v>-4630.5</v>
      </c>
      <c r="AN37" s="19" t="n">
        <f aca="false">-infra_fix*AN7</f>
        <v>-4630.5</v>
      </c>
      <c r="AO37" s="19" t="n">
        <f aca="false">-infra_fix*AO7</f>
        <v>-4630.5</v>
      </c>
      <c r="AP37" s="19" t="n">
        <f aca="false">-infra_fix*AP7</f>
        <v>-4630.5</v>
      </c>
      <c r="AQ37" s="19" t="n">
        <f aca="false">-infra_fix*AQ7</f>
        <v>-4630.5</v>
      </c>
      <c r="AR37" s="19" t="n">
        <f aca="false">-infra_fix*AR7</f>
        <v>-4630.5</v>
      </c>
      <c r="AS37" s="19" t="n">
        <f aca="false">-infra_fix*AS7</f>
        <v>-4630.5</v>
      </c>
      <c r="AT37" s="19" t="n">
        <f aca="false">-infra_fix*AT7</f>
        <v>-4630.5</v>
      </c>
      <c r="AU37" s="19" t="n">
        <f aca="false">-infra_fix*AU7</f>
        <v>-4630.5</v>
      </c>
      <c r="AV37" s="19" t="n">
        <f aca="false">-infra_fix*AV7</f>
        <v>-4630.5</v>
      </c>
      <c r="AW37" s="19" t="n">
        <f aca="false">-infra_fix*AW7</f>
        <v>-4630.5</v>
      </c>
      <c r="AX37" s="19" t="n">
        <f aca="false">-infra_fix*AX7</f>
        <v>-4630.5</v>
      </c>
      <c r="AY37" s="19" t="n">
        <f aca="false">-infra_fix*AY7</f>
        <v>-4862.025</v>
      </c>
      <c r="AZ37" s="19" t="n">
        <f aca="false">-infra_fix*AZ7</f>
        <v>-4862.025</v>
      </c>
      <c r="BA37" s="19" t="n">
        <f aca="false">-infra_fix*BA7</f>
        <v>-4862.025</v>
      </c>
      <c r="BB37" s="19" t="n">
        <f aca="false">-infra_fix*BB7</f>
        <v>-4862.025</v>
      </c>
      <c r="BC37" s="19" t="n">
        <f aca="false">-infra_fix*BC7</f>
        <v>-4862.025</v>
      </c>
      <c r="BD37" s="19" t="n">
        <f aca="false">-infra_fix*BD7</f>
        <v>-4862.025</v>
      </c>
      <c r="BE37" s="19" t="n">
        <f aca="false">-infra_fix*BE7</f>
        <v>-4862.025</v>
      </c>
      <c r="BF37" s="19" t="n">
        <f aca="false">-infra_fix*BF7</f>
        <v>-4862.025</v>
      </c>
      <c r="BG37" s="19" t="n">
        <f aca="false">-infra_fix*BG7</f>
        <v>-4862.025</v>
      </c>
      <c r="BH37" s="19" t="n">
        <f aca="false">-infra_fix*BH7</f>
        <v>-4862.025</v>
      </c>
      <c r="BI37" s="19" t="n">
        <f aca="false">-infra_fix*BI7</f>
        <v>-4862.025</v>
      </c>
      <c r="BJ37" s="19" t="n">
        <f aca="false">-infra_fix*BJ7</f>
        <v>-4862.025</v>
      </c>
    </row>
    <row r="38" customFormat="false" ht="15" hidden="false" customHeight="false" outlineLevel="0" collapsed="false">
      <c r="A38" s="4" t="s">
        <v>525</v>
      </c>
      <c r="B38" s="4" t="s">
        <v>67</v>
      </c>
      <c r="C38" s="19" t="n">
        <f aca="false">-(C29*c_n1+C30*c_cs+C31*c_n2+C32*c_onb)*C7</f>
        <v>-0</v>
      </c>
      <c r="D38" s="19" t="n">
        <f aca="false">-(D29*c_n1+D30*c_cs+D31*c_n2+D32*c_onb)*D7</f>
        <v>-0</v>
      </c>
      <c r="E38" s="19" t="n">
        <f aca="false">-(E29*c_n1+E30*c_cs+E31*c_n2+E32*c_onb)*E7</f>
        <v>-0</v>
      </c>
      <c r="F38" s="19" t="n">
        <f aca="false">-(F29*c_n1+F30*c_cs+F31*c_n2+F32*c_onb)*F7</f>
        <v>-27000</v>
      </c>
      <c r="G38" s="19" t="n">
        <f aca="false">-(G29*c_n1+G30*c_cs+G31*c_n2+G32*c_onb)*G7</f>
        <v>-27000</v>
      </c>
      <c r="H38" s="19" t="n">
        <f aca="false">-(H29*c_n1+H30*c_cs+H31*c_n2+H32*c_onb)*H7</f>
        <v>-27000</v>
      </c>
      <c r="I38" s="19" t="n">
        <f aca="false">-(I29*c_n1+I30*c_cs+I31*c_n2+I32*c_onb)*I7</f>
        <v>-27000</v>
      </c>
      <c r="J38" s="19" t="n">
        <f aca="false">-(J29*c_n1+J30*c_cs+J31*c_n2+J32*c_onb)*J7</f>
        <v>-27000</v>
      </c>
      <c r="K38" s="19" t="n">
        <f aca="false">-(K29*c_n1+K30*c_cs+K31*c_n2+K32*c_onb)*K7</f>
        <v>-27000</v>
      </c>
      <c r="L38" s="19" t="n">
        <f aca="false">-(L29*c_n1+L30*c_cs+L31*c_n2+L32*c_onb)*L7</f>
        <v>-27000</v>
      </c>
      <c r="M38" s="19" t="n">
        <f aca="false">-(M29*c_n1+M30*c_cs+M31*c_n2+M32*c_onb)*M7</f>
        <v>-27000</v>
      </c>
      <c r="N38" s="19" t="n">
        <f aca="false">-(N29*c_n1+N30*c_cs+N31*c_n2+N32*c_onb)*N7</f>
        <v>-27000</v>
      </c>
      <c r="O38" s="19" t="n">
        <f aca="false">-(O29*c_n1+O30*c_cs+O31*c_n2+O32*c_onb)*O7</f>
        <v>-40425</v>
      </c>
      <c r="P38" s="19" t="n">
        <f aca="false">-(P29*c_n1+P30*c_cs+P31*c_n2+P32*c_onb)*P7</f>
        <v>-40425</v>
      </c>
      <c r="Q38" s="19" t="n">
        <f aca="false">-(Q29*c_n1+Q30*c_cs+Q31*c_n2+Q32*c_onb)*Q7</f>
        <v>-40425</v>
      </c>
      <c r="R38" s="19" t="n">
        <f aca="false">-(R29*c_n1+R30*c_cs+R31*c_n2+R32*c_onb)*R7</f>
        <v>-40425</v>
      </c>
      <c r="S38" s="19" t="n">
        <f aca="false">-(S29*c_n1+S30*c_cs+S31*c_n2+S32*c_onb)*S7</f>
        <v>-40425</v>
      </c>
      <c r="T38" s="19" t="n">
        <f aca="false">-(T29*c_n1+T30*c_cs+T31*c_n2+T32*c_onb)*T7</f>
        <v>-40425</v>
      </c>
      <c r="U38" s="19" t="n">
        <f aca="false">-(U29*c_n1+U30*c_cs+U31*c_n2+U32*c_onb)*U7</f>
        <v>-48825</v>
      </c>
      <c r="V38" s="19" t="n">
        <f aca="false">-(V29*c_n1+V30*c_cs+V31*c_n2+V32*c_onb)*V7</f>
        <v>-48825</v>
      </c>
      <c r="W38" s="19" t="n">
        <f aca="false">-(W29*c_n1+W30*c_cs+W31*c_n2+W32*c_onb)*W7</f>
        <v>-48825</v>
      </c>
      <c r="X38" s="19" t="n">
        <f aca="false">-(X29*c_n1+X30*c_cs+X31*c_n2+X32*c_onb)*X7</f>
        <v>-48825</v>
      </c>
      <c r="Y38" s="19" t="n">
        <f aca="false">-(Y29*c_n1+Y30*c_cs+Y31*c_n2+Y32*c_onb)*Y7</f>
        <v>-48825</v>
      </c>
      <c r="Z38" s="19" t="n">
        <f aca="false">-(Z29*c_n1+Z30*c_cs+Z31*c_n2+Z32*c_onb)*Z7</f>
        <v>-53550</v>
      </c>
      <c r="AA38" s="19" t="n">
        <f aca="false">-(AA29*c_n1+AA30*c_cs+AA31*c_n2+AA32*c_onb)*AA7</f>
        <v>-63945</v>
      </c>
      <c r="AB38" s="19" t="n">
        <f aca="false">-(AB29*c_n1+AB30*c_cs+AB31*c_n2+AB32*c_onb)*AB7</f>
        <v>-77175</v>
      </c>
      <c r="AC38" s="19" t="n">
        <f aca="false">-(AC29*c_n1+AC30*c_cs+AC31*c_n2+AC32*c_onb)*AC7</f>
        <v>-85995</v>
      </c>
      <c r="AD38" s="19" t="n">
        <f aca="false">-(AD29*c_n1+AD30*c_cs+AD31*c_n2+AD32*c_onb)*AD7</f>
        <v>-85995</v>
      </c>
      <c r="AE38" s="19" t="n">
        <f aca="false">-(AE29*c_n1+AE30*c_cs+AE31*c_n2+AE32*c_onb)*AE7</f>
        <v>-85995</v>
      </c>
      <c r="AF38" s="19" t="n">
        <f aca="false">-(AF29*c_n1+AF30*c_cs+AF31*c_n2+AF32*c_onb)*AF7</f>
        <v>-85995</v>
      </c>
      <c r="AG38" s="19" t="n">
        <f aca="false">-(AG29*c_n1+AG30*c_cs+AG31*c_n2+AG32*c_onb)*AG7</f>
        <v>-85995</v>
      </c>
      <c r="AH38" s="19" t="n">
        <f aca="false">-(AH29*c_n1+AH30*c_cs+AH31*c_n2+AH32*c_onb)*AH7</f>
        <v>-85995</v>
      </c>
      <c r="AI38" s="19" t="n">
        <f aca="false">-(AI29*c_n1+AI30*c_cs+AI31*c_n2+AI32*c_onb)*AI7</f>
        <v>-99776.25</v>
      </c>
      <c r="AJ38" s="19" t="n">
        <f aca="false">-(AJ29*c_n1+AJ30*c_cs+AJ31*c_n2+AJ32*c_onb)*AJ7</f>
        <v>-99776.25</v>
      </c>
      <c r="AK38" s="19" t="n">
        <f aca="false">-(AK29*c_n1+AK30*c_cs+AK31*c_n2+AK32*c_onb)*AK7</f>
        <v>-99776.25</v>
      </c>
      <c r="AL38" s="19" t="n">
        <f aca="false">-(AL29*c_n1+AL30*c_cs+AL31*c_n2+AL32*c_onb)*AL7</f>
        <v>-113006.25</v>
      </c>
      <c r="AM38" s="19" t="n">
        <f aca="false">-(AM29*c_n1+AM30*c_cs+AM31*c_n2+AM32*c_onb)*AM7</f>
        <v>-126759.9375</v>
      </c>
      <c r="AN38" s="19" t="n">
        <f aca="false">-(AN29*c_n1+AN30*c_cs+AN31*c_n2+AN32*c_onb)*AN7</f>
        <v>-136020.9375</v>
      </c>
      <c r="AO38" s="19" t="n">
        <f aca="false">-(AO29*c_n1+AO30*c_cs+AO31*c_n2+AO32*c_onb)*AO7</f>
        <v>-136020.9375</v>
      </c>
      <c r="AP38" s="19" t="n">
        <f aca="false">-(AP29*c_n1+AP30*c_cs+AP31*c_n2+AP32*c_onb)*AP7</f>
        <v>-136020.9375</v>
      </c>
      <c r="AQ38" s="19" t="n">
        <f aca="false">-(AQ29*c_n1+AQ30*c_cs+AQ31*c_n2+AQ32*c_onb)*AQ7</f>
        <v>-141230.25</v>
      </c>
      <c r="AR38" s="19" t="n">
        <f aca="false">-(AR29*c_n1+AR30*c_cs+AR31*c_n2+AR32*c_onb)*AR7</f>
        <v>-141230.25</v>
      </c>
      <c r="AS38" s="19" t="n">
        <f aca="false">-(AS29*c_n1+AS30*c_cs+AS31*c_n2+AS32*c_onb)*AS7</f>
        <v>-150491.25</v>
      </c>
      <c r="AT38" s="19" t="n">
        <f aca="false">-(AT29*c_n1+AT30*c_cs+AT31*c_n2+AT32*c_onb)*AT7</f>
        <v>-150491.25</v>
      </c>
      <c r="AU38" s="19" t="n">
        <f aca="false">-(AU29*c_n1+AU30*c_cs+AU31*c_n2+AU32*c_onb)*AU7</f>
        <v>-164382.75</v>
      </c>
      <c r="AV38" s="19" t="n">
        <f aca="false">-(AV29*c_n1+AV30*c_cs+AV31*c_n2+AV32*c_onb)*AV7</f>
        <v>-164382.75</v>
      </c>
      <c r="AW38" s="19" t="n">
        <f aca="false">-(AW29*c_n1+AW30*c_cs+AW31*c_n2+AW32*c_onb)*AW7</f>
        <v>-164382.75</v>
      </c>
      <c r="AX38" s="19" t="n">
        <f aca="false">-(AX29*c_n1+AX30*c_cs+AX31*c_n2+AX32*c_onb)*AX7</f>
        <v>-178853.0625</v>
      </c>
      <c r="AY38" s="19" t="n">
        <f aca="false">-(AY29*c_n1+AY30*c_cs+AY31*c_n2+AY32*c_onb)*AY7</f>
        <v>-187795.715625</v>
      </c>
      <c r="AZ38" s="19" t="n">
        <f aca="false">-(AZ29*c_n1+AZ30*c_cs+AZ31*c_n2+AZ32*c_onb)*AZ7</f>
        <v>-187795.715625</v>
      </c>
      <c r="BA38" s="19" t="n">
        <f aca="false">-(BA29*c_n1+BA30*c_cs+BA31*c_n2+BA32*c_onb)*BA7</f>
        <v>-187795.715625</v>
      </c>
      <c r="BB38" s="19" t="n">
        <f aca="false">-(BB29*c_n1+BB30*c_cs+BB31*c_n2+BB32*c_onb)*BB7</f>
        <v>-187795.715625</v>
      </c>
      <c r="BC38" s="19" t="n">
        <f aca="false">-(BC29*c_n1+BC30*c_cs+BC31*c_n2+BC32*c_onb)*BC7</f>
        <v>-212105.840625</v>
      </c>
      <c r="BD38" s="19" t="n">
        <f aca="false">-(BD29*c_n1+BD30*c_cs+BD31*c_n2+BD32*c_onb)*BD7</f>
        <v>-212105.840625</v>
      </c>
      <c r="BE38" s="19" t="n">
        <f aca="false">-(BE29*c_n1+BE30*c_cs+BE31*c_n2+BE32*c_onb)*BE7</f>
        <v>-217575.61875</v>
      </c>
      <c r="BF38" s="19" t="n">
        <f aca="false">-(BF29*c_n1+BF30*c_cs+BF31*c_n2+BF32*c_onb)*BF7</f>
        <v>-217575.61875</v>
      </c>
      <c r="BG38" s="19" t="n">
        <f aca="false">-(BG29*c_n1+BG30*c_cs+BG31*c_n2+BG32*c_onb)*BG7</f>
        <v>-217575.61875</v>
      </c>
      <c r="BH38" s="19" t="n">
        <f aca="false">-(BH29*c_n1+BH30*c_cs+BH31*c_n2+BH32*c_onb)*BH7</f>
        <v>-227299.66875</v>
      </c>
      <c r="BI38" s="19" t="n">
        <f aca="false">-(BI29*c_n1+BI30*c_cs+BI31*c_n2+BI32*c_onb)*BI7</f>
        <v>-227299.66875</v>
      </c>
      <c r="BJ38" s="19" t="n">
        <f aca="false">-(BJ29*c_n1+BJ30*c_cs+BJ31*c_n2+BJ32*c_onb)*BJ7</f>
        <v>-227299.66875</v>
      </c>
    </row>
    <row r="39" customFormat="false" ht="15" hidden="false" customHeight="false" outlineLevel="0" collapsed="false">
      <c r="A39" s="4" t="s">
        <v>526</v>
      </c>
      <c r="B39" s="4" t="s">
        <v>67</v>
      </c>
      <c r="C39" s="19" t="n">
        <f aca="false">-(C33*tool_seat+C12*tool_farm)*C7</f>
        <v>-0</v>
      </c>
      <c r="D39" s="19" t="n">
        <f aca="false">-(D33*tool_seat+D12*tool_farm)*D7</f>
        <v>-0</v>
      </c>
      <c r="E39" s="19" t="n">
        <f aca="false">-(E33*tool_seat+E12*tool_farm)*E7</f>
        <v>-0</v>
      </c>
      <c r="F39" s="19" t="n">
        <f aca="false">-(F33*tool_seat+F12*tool_farm)*F7</f>
        <v>-768</v>
      </c>
      <c r="G39" s="19" t="n">
        <f aca="false">-(G33*tool_seat+G12*tool_farm)*G7</f>
        <v>-803.784</v>
      </c>
      <c r="H39" s="19" t="n">
        <f aca="false">-(H33*tool_seat+H12*tool_farm)*H7</f>
        <v>-839.138592</v>
      </c>
      <c r="I39" s="19" t="n">
        <f aca="false">-(I33*tool_seat+I12*tool_farm)*I7</f>
        <v>-874.068928896</v>
      </c>
      <c r="J39" s="19" t="n">
        <f aca="false">-(J33*tool_seat+J12*tool_farm)*J7</f>
        <v>-908.580101749248</v>
      </c>
      <c r="K39" s="19" t="n">
        <f aca="false">-(K33*tool_seat+K12*tool_farm)*K7</f>
        <v>-942.677140528257</v>
      </c>
      <c r="L39" s="19" t="n">
        <f aca="false">-(L33*tool_seat+L12*tool_farm)*L7</f>
        <v>-976.365014841918</v>
      </c>
      <c r="M39" s="19" t="n">
        <f aca="false">-(M33*tool_seat+M12*tool_farm)*M7</f>
        <v>-1009.64863466382</v>
      </c>
      <c r="N39" s="19" t="n">
        <f aca="false">-(N33*tool_seat+N12*tool_farm)*N7</f>
        <v>-1042.53285104785</v>
      </c>
      <c r="O39" s="19" t="n">
        <f aca="false">-(O33*tool_seat+O12*tool_farm)*O7</f>
        <v>-1710.47357967704</v>
      </c>
      <c r="P39" s="19" t="n">
        <f aca="false">-(P33*tool_seat+P12*tool_farm)*P7</f>
        <v>-1856.89789672091</v>
      </c>
      <c r="Q39" s="19" t="n">
        <f aca="false">-(Q33*tool_seat+Q12*tool_farm)*Q7</f>
        <v>-2001.56512196026</v>
      </c>
      <c r="R39" s="19" t="n">
        <f aca="false">-(R33*tool_seat+R12*tool_farm)*R7</f>
        <v>-2144.49634049674</v>
      </c>
      <c r="S39" s="19" t="n">
        <f aca="false">-(S33*tool_seat+S12*tool_farm)*S7</f>
        <v>-2285.71238441078</v>
      </c>
      <c r="T39" s="19" t="n">
        <f aca="false">-(T33*tool_seat+T12*tool_farm)*T7</f>
        <v>-2425.23383579785</v>
      </c>
      <c r="U39" s="19" t="n">
        <f aca="false">-(U33*tool_seat+U12*tool_farm)*U7</f>
        <v>-2825.58102976828</v>
      </c>
      <c r="V39" s="19" t="n">
        <f aca="false">-(V33*tool_seat+V12*tool_farm)*V7</f>
        <v>-2961.77405741106</v>
      </c>
      <c r="W39" s="19" t="n">
        <f aca="false">-(W33*tool_seat+W12*tool_farm)*W7</f>
        <v>-3096.33276872212</v>
      </c>
      <c r="X39" s="19" t="n">
        <f aca="false">-(X33*tool_seat+X12*tool_farm)*X7</f>
        <v>-3229.27677549746</v>
      </c>
      <c r="Y39" s="19" t="n">
        <f aca="false">-(Y33*tool_seat+Y12*tool_farm)*Y7</f>
        <v>-3360.62545419149</v>
      </c>
      <c r="Z39" s="19" t="n">
        <f aca="false">-(Z33*tool_seat+Z12*tool_farm)*Z7</f>
        <v>-3752.89794874119</v>
      </c>
      <c r="AA39" s="19" t="n">
        <f aca="false">-(AA33*tool_seat+AA12*tool_farm)*AA7</f>
        <v>-4403.71383202411</v>
      </c>
      <c r="AB39" s="19" t="n">
        <f aca="false">-(AB33*tool_seat+AB12*tool_farm)*AB7</f>
        <v>-4917.55426603982</v>
      </c>
      <c r="AC39" s="19" t="n">
        <f aca="false">-(AC33*tool_seat+AC12*tool_farm)*AC7</f>
        <v>-5428.53611484735</v>
      </c>
      <c r="AD39" s="19" t="n">
        <f aca="false">-(AD33*tool_seat+AD12*tool_farm)*AD7</f>
        <v>-5661.06868146918</v>
      </c>
      <c r="AE39" s="19" t="n">
        <f aca="false">-(AE33*tool_seat+AE12*tool_farm)*AE7</f>
        <v>-5890.81085729155</v>
      </c>
      <c r="AF39" s="19" t="n">
        <f aca="false">-(AF33*tool_seat+AF12*tool_farm)*AF7</f>
        <v>-6117.79612700405</v>
      </c>
      <c r="AG39" s="19" t="n">
        <f aca="false">-(AG33*tool_seat+AG12*tool_farm)*AG7</f>
        <v>-6342.05757348</v>
      </c>
      <c r="AH39" s="19" t="n">
        <f aca="false">-(AH33*tool_seat+AH12*tool_farm)*AH7</f>
        <v>-6563.62788259824</v>
      </c>
      <c r="AI39" s="19" t="n">
        <f aca="false">-(AI33*tool_seat+AI12*tool_farm)*AI7</f>
        <v>-7333.78934800706</v>
      </c>
      <c r="AJ39" s="19" t="n">
        <f aca="false">-(AJ33*tool_seat+AJ12*tool_farm)*AJ7</f>
        <v>-7550.07387583098</v>
      </c>
      <c r="AK39" s="19" t="n">
        <f aca="false">-(AK33*tool_seat+AK12*tool_farm)*AK7</f>
        <v>-7763.76298932101</v>
      </c>
      <c r="AL39" s="19" t="n">
        <f aca="false">-(AL33*tool_seat+AL12*tool_farm)*AL7</f>
        <v>-8250.51283344915</v>
      </c>
      <c r="AM39" s="19" t="n">
        <f aca="false">-(AM33*tool_seat+AM12*tool_farm)*AM7</f>
        <v>-9213.14013842015</v>
      </c>
      <c r="AN39" s="19" t="n">
        <f aca="false">-(AN33*tool_seat+AN12*tool_farm)*AN7</f>
        <v>-9801.78795675911</v>
      </c>
      <c r="AO39" s="19" t="n">
        <f aca="false">-(AO33*tool_seat+AO12*tool_farm)*AO7</f>
        <v>-10097.438626278</v>
      </c>
      <c r="AP39" s="19" t="n">
        <f aca="false">-(AP33*tool_seat+AP12*tool_farm)*AP7</f>
        <v>-10389.5414877627</v>
      </c>
      <c r="AQ39" s="19" t="n">
        <f aca="false">-(AQ33*tool_seat+AQ12*tool_farm)*AQ7</f>
        <v>-10967.5453649095</v>
      </c>
      <c r="AR39" s="19" t="n">
        <f aca="false">-(AR33*tool_seat+AR12*tool_farm)*AR7</f>
        <v>-11252.6798205306</v>
      </c>
      <c r="AS39" s="19" t="n">
        <f aca="false">-(AS33*tool_seat+AS12*tool_farm)*AS7</f>
        <v>-11823.7989126842</v>
      </c>
      <c r="AT39" s="19" t="n">
        <f aca="false">-(AT33*tool_seat+AT12*tool_farm)*AT7</f>
        <v>-12102.131200732</v>
      </c>
      <c r="AU39" s="19" t="n">
        <f aca="false">-(AU33*tool_seat+AU12*tool_farm)*AU7</f>
        <v>-12666.5297513232</v>
      </c>
      <c r="AV39" s="19" t="n">
        <f aca="false">-(AV33*tool_seat+AV12*tool_farm)*AV7</f>
        <v>-12938.2221443074</v>
      </c>
      <c r="AW39" s="19" t="n">
        <f aca="false">-(AW33*tool_seat+AW12*tool_farm)*AW7</f>
        <v>-13206.6542285757</v>
      </c>
      <c r="AX39" s="19" t="n">
        <f aca="false">-(AX33*tool_seat+AX12*tool_farm)*AX7</f>
        <v>-14050.6776278328</v>
      </c>
      <c r="AY39" s="19" t="n">
        <f aca="false">-(AY33*tool_seat+AY12*tool_farm)*AY7</f>
        <v>-15057.5134461137</v>
      </c>
      <c r="AZ39" s="19" t="n">
        <f aca="false">-(AZ33*tool_seat+AZ12*tool_farm)*AZ7</f>
        <v>-15387.3359097603</v>
      </c>
      <c r="BA39" s="19" t="n">
        <f aca="false">-(BA33*tool_seat+BA12*tool_farm)*BA7</f>
        <v>-15713.2005038432</v>
      </c>
      <c r="BB39" s="19" t="n">
        <f aca="false">-(BB33*tool_seat+BB12*tool_farm)*BB7</f>
        <v>-16035.1547227971</v>
      </c>
      <c r="BC39" s="19" t="n">
        <f aca="false">-(BC33*tool_seat+BC12*tool_farm)*BC7</f>
        <v>-16960.9986161235</v>
      </c>
      <c r="BD39" s="19" t="n">
        <f aca="false">-(BD33*tool_seat+BD12*tool_farm)*BD7</f>
        <v>-17275.2722952301</v>
      </c>
      <c r="BE39" s="19" t="n">
        <f aca="false">-(BE33*tool_seat+BE12*tool_farm)*BE7</f>
        <v>-17889.6512526873</v>
      </c>
      <c r="BF39" s="19" t="n">
        <f aca="false">-(BF33*tool_seat+BF12*tool_farm)*BF7</f>
        <v>-18196.427618905</v>
      </c>
      <c r="BG39" s="19" t="n">
        <f aca="false">-(BG33*tool_seat+BG12*tool_farm)*BG7</f>
        <v>-18499.5226687282</v>
      </c>
      <c r="BH39" s="19" t="n">
        <f aca="false">-(BH33*tool_seat+BH12*tool_farm)*BH7</f>
        <v>-19102.8571404535</v>
      </c>
      <c r="BI39" s="19" t="n">
        <f aca="false">-(BI33*tool_seat+BI12*tool_farm)*BI7</f>
        <v>-19398.721554768</v>
      </c>
      <c r="BJ39" s="19" t="n">
        <f aca="false">-(BJ33*tool_seat+BJ12*tool_farm)*BJ7</f>
        <v>-19691.0355961108</v>
      </c>
    </row>
    <row r="40" customFormat="false" ht="15" hidden="false" customHeight="false" outlineLevel="0" collapsed="false">
      <c r="A40" s="5" t="s">
        <v>527</v>
      </c>
      <c r="B40" s="4" t="s">
        <v>67</v>
      </c>
      <c r="C40" s="25" t="n">
        <f aca="false">SUM(C35:C39)</f>
        <v>-4000</v>
      </c>
      <c r="D40" s="25" t="n">
        <f aca="false">SUM(D35:D39)</f>
        <v>-4000</v>
      </c>
      <c r="E40" s="25" t="n">
        <f aca="false">SUM(E35:E39)</f>
        <v>-4000</v>
      </c>
      <c r="F40" s="25" t="n">
        <f aca="false">SUM(F35:F39)</f>
        <v>-31925.5</v>
      </c>
      <c r="G40" s="25" t="n">
        <f aca="false">SUM(G35:G39)</f>
        <v>-32274.394</v>
      </c>
      <c r="H40" s="25" t="n">
        <f aca="false">SUM(H35:H39)</f>
        <v>-32619.101272</v>
      </c>
      <c r="I40" s="25" t="n">
        <f aca="false">SUM(I35:I39)</f>
        <v>-32959.672056736</v>
      </c>
      <c r="J40" s="25" t="n">
        <f aca="false">SUM(J35:J39)</f>
        <v>-33296.1559920552</v>
      </c>
      <c r="K40" s="25" t="n">
        <f aca="false">SUM(K35:K39)</f>
        <v>-33628.6021201505</v>
      </c>
      <c r="L40" s="25" t="n">
        <f aca="false">SUM(L35:L39)</f>
        <v>-33957.0588947087</v>
      </c>
      <c r="M40" s="25" t="n">
        <f aca="false">SUM(M35:M39)</f>
        <v>-34281.5741879722</v>
      </c>
      <c r="N40" s="25" t="n">
        <f aca="false">SUM(N35:N39)</f>
        <v>-34602.1952977165</v>
      </c>
      <c r="O40" s="25" t="n">
        <f aca="false">SUM(O35:O39)</f>
        <v>-49817.7424018511</v>
      </c>
      <c r="P40" s="25" t="n">
        <f aca="false">SUM(P35:P39)</f>
        <v>-51245.3794930289</v>
      </c>
      <c r="Q40" s="25" t="n">
        <f aca="false">SUM(Q35:Q39)</f>
        <v>-52655.8849391126</v>
      </c>
      <c r="R40" s="25" t="n">
        <f aca="false">SUM(R35:R39)</f>
        <v>-54049.4643198432</v>
      </c>
      <c r="S40" s="25" t="n">
        <f aca="false">SUM(S35:S39)</f>
        <v>-55426.3207480051</v>
      </c>
      <c r="T40" s="25" t="n">
        <f aca="false">SUM(T35:T39)</f>
        <v>-56786.654899029</v>
      </c>
      <c r="U40" s="25" t="n">
        <f aca="false">SUM(U35:U39)</f>
        <v>-66793.1650402407</v>
      </c>
      <c r="V40" s="25" t="n">
        <f aca="false">SUM(V35:V39)</f>
        <v>-68121.0470597578</v>
      </c>
      <c r="W40" s="25" t="n">
        <f aca="false">SUM(W35:W39)</f>
        <v>-69432.9944950407</v>
      </c>
      <c r="X40" s="25" t="n">
        <f aca="false">SUM(X35:X39)</f>
        <v>-70729.1985611002</v>
      </c>
      <c r="Y40" s="25" t="n">
        <f aca="false">SUM(Y35:Y39)</f>
        <v>-72009.848178367</v>
      </c>
      <c r="Z40" s="25" t="n">
        <f aca="false">SUM(Z35:Z39)</f>
        <v>-78262.6300002266</v>
      </c>
      <c r="AA40" s="25" t="n">
        <f aca="false">SUM(AA35:AA39)</f>
        <v>-91997.4598622351</v>
      </c>
      <c r="AB40" s="25" t="n">
        <f aca="false">SUM(AB35:AB39)</f>
        <v>-107825.685343888</v>
      </c>
      <c r="AC40" s="25" t="n">
        <f aca="false">SUM(AC35:AC39)</f>
        <v>-119216.039619762</v>
      </c>
      <c r="AD40" s="25" t="n">
        <f aca="false">SUM(AD35:AD39)</f>
        <v>-121483.232144324</v>
      </c>
      <c r="AE40" s="25" t="n">
        <f aca="false">SUM(AE35:AE39)</f>
        <v>-123723.218358593</v>
      </c>
      <c r="AF40" s="25" t="n">
        <f aca="false">SUM(AF35:AF39)</f>
        <v>-125936.324738289</v>
      </c>
      <c r="AG40" s="25" t="n">
        <f aca="false">SUM(AG35:AG39)</f>
        <v>-128122.87384143</v>
      </c>
      <c r="AH40" s="25" t="n">
        <f aca="false">SUM(AH35:AH39)</f>
        <v>-130283.184355333</v>
      </c>
      <c r="AI40" s="25" t="n">
        <f aca="false">SUM(AI35:AI39)</f>
        <v>-146750.071143069</v>
      </c>
      <c r="AJ40" s="25" t="n">
        <f aca="false">SUM(AJ35:AJ39)</f>
        <v>-148858.845289352</v>
      </c>
      <c r="AK40" s="25" t="n">
        <f aca="false">SUM(AK35:AK39)</f>
        <v>-150942.31414588</v>
      </c>
      <c r="AL40" s="25" t="n">
        <f aca="false">SUM(AL35:AL39)</f>
        <v>-166506.406376129</v>
      </c>
      <c r="AM40" s="25" t="n">
        <f aca="false">SUM(AM35:AM39)</f>
        <v>-185766.288224597</v>
      </c>
      <c r="AN40" s="25" t="n">
        <f aca="false">SUM(AN35:AN39)</f>
        <v>-198234.299765901</v>
      </c>
      <c r="AO40" s="25" t="n">
        <f aca="false">SUM(AO35:AO39)</f>
        <v>-201116.893793711</v>
      </c>
      <c r="AP40" s="25" t="n">
        <f aca="false">SUM(AP35:AP39)</f>
        <v>-203964.896693186</v>
      </c>
      <c r="AQ40" s="25" t="n">
        <f aca="false">SUM(AQ35:AQ39)</f>
        <v>-212277.442307868</v>
      </c>
      <c r="AR40" s="25" t="n">
        <f aca="false">SUM(AR35:AR39)</f>
        <v>-215057.503250173</v>
      </c>
      <c r="AS40" s="25" t="n">
        <f aca="false">SUM(AS35:AS39)</f>
        <v>-227354.609711171</v>
      </c>
      <c r="AT40" s="25" t="n">
        <f aca="false">SUM(AT35:AT39)</f>
        <v>-230068.349519637</v>
      </c>
      <c r="AU40" s="25" t="n">
        <f aca="false">SUM(AU35:AU39)</f>
        <v>-246930.430700402</v>
      </c>
      <c r="AV40" s="25" t="n">
        <f aca="false">SUM(AV35:AV39)</f>
        <v>-249579.431531997</v>
      </c>
      <c r="AW40" s="25" t="n">
        <f aca="false">SUM(AW35:AW39)</f>
        <v>-252196.644353613</v>
      </c>
      <c r="AX40" s="25" t="n">
        <f aca="false">SUM(AX35:AX39)</f>
        <v>-269831.575621369</v>
      </c>
      <c r="AY40" s="25" t="n">
        <f aca="false">SUM(AY35:AY39)</f>
        <v>-286290.098287109</v>
      </c>
      <c r="AZ40" s="25" t="n">
        <f aca="false">SUM(AZ35:AZ39)</f>
        <v>-289505.867307663</v>
      </c>
      <c r="BA40" s="25" t="n">
        <f aca="false">SUM(BA35:BA39)</f>
        <v>-292683.047099971</v>
      </c>
      <c r="BB40" s="25" t="n">
        <f aca="false">SUM(BB35:BB39)</f>
        <v>-295822.100734772</v>
      </c>
      <c r="BC40" s="25" t="n">
        <f aca="false">SUM(BC35:BC39)</f>
        <v>-323841.363850955</v>
      </c>
      <c r="BD40" s="25" t="n">
        <f aca="false">SUM(BD35:BD39)</f>
        <v>-326905.532222243</v>
      </c>
      <c r="BE40" s="25" t="n">
        <f aca="false">SUM(BE35:BE39)</f>
        <v>-335706.585260576</v>
      </c>
      <c r="BF40" s="25" t="n">
        <f aca="false">SUM(BF35:BF39)</f>
        <v>-338697.654831199</v>
      </c>
      <c r="BG40" s="25" t="n">
        <f aca="false">SUM(BG35:BG39)</f>
        <v>-341652.831566975</v>
      </c>
      <c r="BH40" s="25" t="n">
        <f aca="false">SUM(BH35:BH39)</f>
        <v>-354600.472744421</v>
      </c>
      <c r="BI40" s="25" t="n">
        <f aca="false">SUM(BI35:BI39)</f>
        <v>-357485.150783988</v>
      </c>
      <c r="BJ40" s="25" t="n">
        <f aca="false">SUM(BJ35:BJ39)</f>
        <v>-360335.21268708</v>
      </c>
    </row>
    <row r="41" customFormat="false" ht="15" hidden="false" customHeight="false" outlineLevel="0" collapsed="false">
      <c r="A41" s="5" t="s">
        <v>528</v>
      </c>
      <c r="B41" s="4" t="s">
        <v>67</v>
      </c>
      <c r="C41" s="25" t="n">
        <f aca="false">C26+C40</f>
        <v>-4000</v>
      </c>
      <c r="D41" s="25" t="n">
        <f aca="false">D26+D40</f>
        <v>-4000</v>
      </c>
      <c r="E41" s="25" t="n">
        <f aca="false">E26+E40</f>
        <v>-4000</v>
      </c>
      <c r="F41" s="25" t="n">
        <f aca="false">F26+F40</f>
        <v>-23437.3</v>
      </c>
      <c r="G41" s="25" t="n">
        <f aca="false">G26+G40</f>
        <v>-20276.73784</v>
      </c>
      <c r="H41" s="25" t="n">
        <f aca="false">H26+H40</f>
        <v>-17154.10242592</v>
      </c>
      <c r="I41" s="25" t="n">
        <f aca="false">I26+I40</f>
        <v>-14068.938636809</v>
      </c>
      <c r="J41" s="25" t="n">
        <f aca="false">J26+J40</f>
        <v>-11020.7968131672</v>
      </c>
      <c r="K41" s="25" t="n">
        <f aca="false">K26+K40</f>
        <v>-8009.23269140924</v>
      </c>
      <c r="L41" s="25" t="n">
        <f aca="false">L26+L40</f>
        <v>-5033.80733911233</v>
      </c>
      <c r="M41" s="25" t="n">
        <f aca="false">M26+M40</f>
        <v>-2094.08709104298</v>
      </c>
      <c r="N41" s="25" t="n">
        <f aca="false">N26+N40</f>
        <v>810.356514049534</v>
      </c>
      <c r="O41" s="25" t="n">
        <f aca="false">O26+O40</f>
        <v>27246.6300520728</v>
      </c>
      <c r="P41" s="25" t="n">
        <f aca="false">P26+P40</f>
        <v>40986.6036274479</v>
      </c>
      <c r="Q41" s="25" t="n">
        <f aca="false">Q26+Q40</f>
        <v>54568.6527199185</v>
      </c>
      <c r="R41" s="25" t="n">
        <f aca="false">R26+R40</f>
        <v>67994.6724232795</v>
      </c>
      <c r="S41" s="25" t="n">
        <f aca="false">S26+S40</f>
        <v>81266.5350902002</v>
      </c>
      <c r="T41" s="25" t="n">
        <f aca="false">T26+T40</f>
        <v>94386.0906051178</v>
      </c>
      <c r="U41" s="25" t="n">
        <f aca="false">U26+U40</f>
        <v>98692.6666538563</v>
      </c>
      <c r="V41" s="25" t="n">
        <f aca="false">V26+V40</f>
        <v>111513.06899001</v>
      </c>
      <c r="W41" s="25" t="n">
        <f aca="false">W26+W40</f>
        <v>124186.58169813</v>
      </c>
      <c r="X41" s="25" t="n">
        <f aca="false">X26+X40</f>
        <v>191914.967453752</v>
      </c>
      <c r="Y41" s="25" t="n">
        <f aca="false">Y26+Y40</f>
        <v>149099.967780307</v>
      </c>
      <c r="Z41" s="25" t="n">
        <f aca="false">Z26+Z40</f>
        <v>156355.803302944</v>
      </c>
      <c r="AA41" s="25" t="n">
        <f aca="false">AA26+AA40</f>
        <v>202295.156683016</v>
      </c>
      <c r="AB41" s="25" t="n">
        <f aca="false">AB26+AB40</f>
        <v>210846.92371082</v>
      </c>
      <c r="AC41" s="25" t="n">
        <f aca="false">AC26+AC40</f>
        <v>223557.81415429</v>
      </c>
      <c r="AD41" s="25" t="n">
        <f aca="false">AD26+AD40</f>
        <v>245116.463532439</v>
      </c>
      <c r="AE41" s="25" t="n">
        <f aca="false">AE26+AE40</f>
        <v>266430.221238049</v>
      </c>
      <c r="AF41" s="25" t="n">
        <f aca="false">AF26+AF40</f>
        <v>287502.025971193</v>
      </c>
      <c r="AG41" s="25" t="n">
        <f aca="false">AG26+AG40</f>
        <v>308334.781167539</v>
      </c>
      <c r="AH41" s="25" t="n">
        <f aca="false">AH26+AH40</f>
        <v>328931.355421528</v>
      </c>
      <c r="AI41" s="25" t="n">
        <f aca="false">AI26+AI40</f>
        <v>334962.08290447</v>
      </c>
      <c r="AJ41" s="25" t="n">
        <f aca="false">AJ26+AJ40</f>
        <v>459494.763777616</v>
      </c>
      <c r="AK41" s="25" t="n">
        <f aca="false">AK26+AK40</f>
        <v>374999.664600285</v>
      </c>
      <c r="AL41" s="25" t="n">
        <f aca="false">AL26+AL40</f>
        <v>381173.893733081</v>
      </c>
      <c r="AM41" s="25" t="n">
        <f aca="false">AM26+AM40</f>
        <v>454370.627771047</v>
      </c>
      <c r="AN41" s="25" t="n">
        <f aca="false">AN26+AN40</f>
        <v>473386.116244254</v>
      </c>
      <c r="AO41" s="25" t="n">
        <f aca="false">AO26+AO40</f>
        <v>501630.724272784</v>
      </c>
      <c r="AP41" s="25" t="n">
        <f aca="false">AP26+AP40</f>
        <v>529557.90104697</v>
      </c>
      <c r="AQ41" s="25" t="n">
        <f aca="false">AQ26+AQ40</f>
        <v>551672.736991866</v>
      </c>
      <c r="AR41" s="25" t="n">
        <f aca="false">AR26+AR40</f>
        <v>578976.433072424</v>
      </c>
      <c r="AS41" s="25" t="n">
        <f aca="false">AS26+AS40</f>
        <v>596423.582592015</v>
      </c>
      <c r="AT41" s="25" t="n">
        <f aca="false">AT26+AT40</f>
        <v>623118.671734371</v>
      </c>
      <c r="AU41" s="25" t="n">
        <f aca="false">AU26+AU40</f>
        <v>635334.017599018</v>
      </c>
      <c r="AV41" s="25" t="n">
        <f aca="false">AV26+AV40</f>
        <v>833435.01873029</v>
      </c>
      <c r="AW41" s="25" t="n">
        <f aca="false">AW26+AW40</f>
        <v>687244.311889987</v>
      </c>
      <c r="AX41" s="25" t="n">
        <f aca="false">AX26+AX40</f>
        <v>697716.272573767</v>
      </c>
      <c r="AY41" s="25" t="n">
        <f aca="false">AY26+AY40</f>
        <v>809353.912531625</v>
      </c>
      <c r="AZ41" s="25" t="n">
        <f aca="false">AZ26+AZ40</f>
        <v>842022.782915685</v>
      </c>
      <c r="BA41" s="25" t="n">
        <f aca="false">BA26+BA40</f>
        <v>874329.732513937</v>
      </c>
      <c r="BB41" s="25" t="n">
        <f aca="false">BB26+BB40</f>
        <v>906279.10437581</v>
      </c>
      <c r="BC41" s="25" t="n">
        <f aca="false">BC26+BC40</f>
        <v>912957.31130914</v>
      </c>
      <c r="BD41" s="25" t="n">
        <f aca="false">BD26+BD40</f>
        <v>944204.34900557</v>
      </c>
      <c r="BE41" s="25" t="n">
        <f aca="false">BE26+BE40</f>
        <v>969332.873220943</v>
      </c>
      <c r="BF41" s="25" t="n">
        <f aca="false">BF26+BF40</f>
        <v>999894.331635782</v>
      </c>
      <c r="BG41" s="25" t="n">
        <f aca="false">BG26+BG40</f>
        <v>1030119.15820844</v>
      </c>
      <c r="BH41" s="25" t="n">
        <f aca="false">BH26+BH40</f>
        <v>1290783.46595853</v>
      </c>
      <c r="BI41" s="25" t="n">
        <f aca="false">BI26+BI40</f>
        <v>1079547.09911817</v>
      </c>
      <c r="BJ41" s="25" t="n">
        <f aca="false">BJ26+BJ40</f>
        <v>1108786.07433869</v>
      </c>
    </row>
    <row r="42" customFormat="false" ht="15" hidden="false" customHeight="false" outlineLevel="0" collapsed="false">
      <c r="A42" s="7" t="s">
        <v>234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customFormat="false" ht="15" hidden="false" customHeight="false" outlineLevel="0" collapsed="false">
      <c r="A43" s="4" t="s">
        <v>529</v>
      </c>
      <c r="B43" s="4" t="s">
        <v>67</v>
      </c>
      <c r="C43" s="19" t="n">
        <f aca="false">-INDEX(hc_dir,1,C6)*cc_dir*C7</f>
        <v>-18000</v>
      </c>
      <c r="D43" s="19" t="n">
        <f aca="false">-INDEX(hc_dir,1,D6)*cc_dir*D7</f>
        <v>-18000</v>
      </c>
      <c r="E43" s="19" t="n">
        <f aca="false">-INDEX(hc_dir,1,E6)*cc_dir*E7</f>
        <v>-18000</v>
      </c>
      <c r="F43" s="19" t="n">
        <f aca="false">-INDEX(hc_dir,1,F6)*cc_dir*F7</f>
        <v>-18000</v>
      </c>
      <c r="G43" s="19" t="n">
        <f aca="false">-INDEX(hc_dir,1,G6)*cc_dir*G7</f>
        <v>-18000</v>
      </c>
      <c r="H43" s="19" t="n">
        <f aca="false">-INDEX(hc_dir,1,H6)*cc_dir*H7</f>
        <v>-18000</v>
      </c>
      <c r="I43" s="19" t="n">
        <f aca="false">-INDEX(hc_dir,1,I6)*cc_dir*I7</f>
        <v>-18000</v>
      </c>
      <c r="J43" s="19" t="n">
        <f aca="false">-INDEX(hc_dir,1,J6)*cc_dir*J7</f>
        <v>-18000</v>
      </c>
      <c r="K43" s="19" t="n">
        <f aca="false">-INDEX(hc_dir,1,K6)*cc_dir*K7</f>
        <v>-18000</v>
      </c>
      <c r="L43" s="19" t="n">
        <f aca="false">-INDEX(hc_dir,1,L6)*cc_dir*L7</f>
        <v>-18000</v>
      </c>
      <c r="M43" s="19" t="n">
        <f aca="false">-INDEX(hc_dir,1,M6)*cc_dir*M7</f>
        <v>-18000</v>
      </c>
      <c r="N43" s="19" t="n">
        <f aca="false">-INDEX(hc_dir,1,N6)*cc_dir*N7</f>
        <v>-18000</v>
      </c>
      <c r="O43" s="19" t="n">
        <f aca="false">-INDEX(hc_dir,1,O6)*cc_dir*O7</f>
        <v>-18900</v>
      </c>
      <c r="P43" s="19" t="n">
        <f aca="false">-INDEX(hc_dir,1,P6)*cc_dir*P7</f>
        <v>-18900</v>
      </c>
      <c r="Q43" s="19" t="n">
        <f aca="false">-INDEX(hc_dir,1,Q6)*cc_dir*Q7</f>
        <v>-18900</v>
      </c>
      <c r="R43" s="19" t="n">
        <f aca="false">-INDEX(hc_dir,1,R6)*cc_dir*R7</f>
        <v>-18900</v>
      </c>
      <c r="S43" s="19" t="n">
        <f aca="false">-INDEX(hc_dir,1,S6)*cc_dir*S7</f>
        <v>-18900</v>
      </c>
      <c r="T43" s="19" t="n">
        <f aca="false">-INDEX(hc_dir,1,T6)*cc_dir*T7</f>
        <v>-18900</v>
      </c>
      <c r="U43" s="19" t="n">
        <f aca="false">-INDEX(hc_dir,1,U6)*cc_dir*U7</f>
        <v>-18900</v>
      </c>
      <c r="V43" s="19" t="n">
        <f aca="false">-INDEX(hc_dir,1,V6)*cc_dir*V7</f>
        <v>-18900</v>
      </c>
      <c r="W43" s="19" t="n">
        <f aca="false">-INDEX(hc_dir,1,W6)*cc_dir*W7</f>
        <v>-18900</v>
      </c>
      <c r="X43" s="19" t="n">
        <f aca="false">-INDEX(hc_dir,1,X6)*cc_dir*X7</f>
        <v>-18900</v>
      </c>
      <c r="Y43" s="19" t="n">
        <f aca="false">-INDEX(hc_dir,1,Y6)*cc_dir*Y7</f>
        <v>-18900</v>
      </c>
      <c r="Z43" s="19" t="n">
        <f aca="false">-INDEX(hc_dir,1,Z6)*cc_dir*Z7</f>
        <v>-18900</v>
      </c>
      <c r="AA43" s="19" t="n">
        <f aca="false">-INDEX(hc_dir,1,AA6)*cc_dir*AA7</f>
        <v>-19845</v>
      </c>
      <c r="AB43" s="19" t="n">
        <f aca="false">-INDEX(hc_dir,1,AB6)*cc_dir*AB7</f>
        <v>-19845</v>
      </c>
      <c r="AC43" s="19" t="n">
        <f aca="false">-INDEX(hc_dir,1,AC6)*cc_dir*AC7</f>
        <v>-19845</v>
      </c>
      <c r="AD43" s="19" t="n">
        <f aca="false">-INDEX(hc_dir,1,AD6)*cc_dir*AD7</f>
        <v>-19845</v>
      </c>
      <c r="AE43" s="19" t="n">
        <f aca="false">-INDEX(hc_dir,1,AE6)*cc_dir*AE7</f>
        <v>-19845</v>
      </c>
      <c r="AF43" s="19" t="n">
        <f aca="false">-INDEX(hc_dir,1,AF6)*cc_dir*AF7</f>
        <v>-19845</v>
      </c>
      <c r="AG43" s="19" t="n">
        <f aca="false">-INDEX(hc_dir,1,AG6)*cc_dir*AG7</f>
        <v>-19845</v>
      </c>
      <c r="AH43" s="19" t="n">
        <f aca="false">-INDEX(hc_dir,1,AH6)*cc_dir*AH7</f>
        <v>-19845</v>
      </c>
      <c r="AI43" s="19" t="n">
        <f aca="false">-INDEX(hc_dir,1,AI6)*cc_dir*AI7</f>
        <v>-19845</v>
      </c>
      <c r="AJ43" s="19" t="n">
        <f aca="false">-INDEX(hc_dir,1,AJ6)*cc_dir*AJ7</f>
        <v>-19845</v>
      </c>
      <c r="AK43" s="19" t="n">
        <f aca="false">-INDEX(hc_dir,1,AK6)*cc_dir*AK7</f>
        <v>-19845</v>
      </c>
      <c r="AL43" s="19" t="n">
        <f aca="false">-INDEX(hc_dir,1,AL6)*cc_dir*AL7</f>
        <v>-19845</v>
      </c>
      <c r="AM43" s="19" t="n">
        <f aca="false">-INDEX(hc_dir,1,AM6)*cc_dir*AM7</f>
        <v>-20837.25</v>
      </c>
      <c r="AN43" s="19" t="n">
        <f aca="false">-INDEX(hc_dir,1,AN6)*cc_dir*AN7</f>
        <v>-20837.25</v>
      </c>
      <c r="AO43" s="19" t="n">
        <f aca="false">-INDEX(hc_dir,1,AO6)*cc_dir*AO7</f>
        <v>-20837.25</v>
      </c>
      <c r="AP43" s="19" t="n">
        <f aca="false">-INDEX(hc_dir,1,AP6)*cc_dir*AP7</f>
        <v>-20837.25</v>
      </c>
      <c r="AQ43" s="19" t="n">
        <f aca="false">-INDEX(hc_dir,1,AQ6)*cc_dir*AQ7</f>
        <v>-20837.25</v>
      </c>
      <c r="AR43" s="19" t="n">
        <f aca="false">-INDEX(hc_dir,1,AR6)*cc_dir*AR7</f>
        <v>-20837.25</v>
      </c>
      <c r="AS43" s="19" t="n">
        <f aca="false">-INDEX(hc_dir,1,AS6)*cc_dir*AS7</f>
        <v>-20837.25</v>
      </c>
      <c r="AT43" s="19" t="n">
        <f aca="false">-INDEX(hc_dir,1,AT6)*cc_dir*AT7</f>
        <v>-20837.25</v>
      </c>
      <c r="AU43" s="19" t="n">
        <f aca="false">-INDEX(hc_dir,1,AU6)*cc_dir*AU7</f>
        <v>-20837.25</v>
      </c>
      <c r="AV43" s="19" t="n">
        <f aca="false">-INDEX(hc_dir,1,AV6)*cc_dir*AV7</f>
        <v>-20837.25</v>
      </c>
      <c r="AW43" s="19" t="n">
        <f aca="false">-INDEX(hc_dir,1,AW6)*cc_dir*AW7</f>
        <v>-20837.25</v>
      </c>
      <c r="AX43" s="19" t="n">
        <f aca="false">-INDEX(hc_dir,1,AX6)*cc_dir*AX7</f>
        <v>-20837.25</v>
      </c>
      <c r="AY43" s="19" t="n">
        <f aca="false">-INDEX(hc_dir,1,AY6)*cc_dir*AY7</f>
        <v>-21879.1125</v>
      </c>
      <c r="AZ43" s="19" t="n">
        <f aca="false">-INDEX(hc_dir,1,AZ6)*cc_dir*AZ7</f>
        <v>-21879.1125</v>
      </c>
      <c r="BA43" s="19" t="n">
        <f aca="false">-INDEX(hc_dir,1,BA6)*cc_dir*BA7</f>
        <v>-21879.1125</v>
      </c>
      <c r="BB43" s="19" t="n">
        <f aca="false">-INDEX(hc_dir,1,BB6)*cc_dir*BB7</f>
        <v>-21879.1125</v>
      </c>
      <c r="BC43" s="19" t="n">
        <f aca="false">-INDEX(hc_dir,1,BC6)*cc_dir*BC7</f>
        <v>-21879.1125</v>
      </c>
      <c r="BD43" s="19" t="n">
        <f aca="false">-INDEX(hc_dir,1,BD6)*cc_dir*BD7</f>
        <v>-21879.1125</v>
      </c>
      <c r="BE43" s="19" t="n">
        <f aca="false">-INDEX(hc_dir,1,BE6)*cc_dir*BE7</f>
        <v>-21879.1125</v>
      </c>
      <c r="BF43" s="19" t="n">
        <f aca="false">-INDEX(hc_dir,1,BF6)*cc_dir*BF7</f>
        <v>-21879.1125</v>
      </c>
      <c r="BG43" s="19" t="n">
        <f aca="false">-INDEX(hc_dir,1,BG6)*cc_dir*BG7</f>
        <v>-21879.1125</v>
      </c>
      <c r="BH43" s="19" t="n">
        <f aca="false">-INDEX(hc_dir,1,BH6)*cc_dir*BH7</f>
        <v>-21879.1125</v>
      </c>
      <c r="BI43" s="19" t="n">
        <f aca="false">-INDEX(hc_dir,1,BI6)*cc_dir*BI7</f>
        <v>-21879.1125</v>
      </c>
      <c r="BJ43" s="19" t="n">
        <f aca="false">-INDEX(hc_dir,1,BJ6)*cc_dir*BJ7</f>
        <v>-21879.1125</v>
      </c>
    </row>
    <row r="44" customFormat="false" ht="15" hidden="false" customHeight="false" outlineLevel="0" collapsed="false">
      <c r="A44" s="4" t="s">
        <v>530</v>
      </c>
      <c r="B44" s="4" t="s">
        <v>67</v>
      </c>
      <c r="C44" s="19" t="n">
        <f aca="false">-INDEX(hc_tl,1,C6)*cc_tl*C7</f>
        <v>-22000</v>
      </c>
      <c r="D44" s="19" t="n">
        <f aca="false">-INDEX(hc_tl,1,D6)*cc_tl*D7</f>
        <v>-22000</v>
      </c>
      <c r="E44" s="19" t="n">
        <f aca="false">-INDEX(hc_tl,1,E6)*cc_tl*E7</f>
        <v>-22000</v>
      </c>
      <c r="F44" s="19" t="n">
        <f aca="false">-INDEX(hc_tl,1,F6)*cc_tl*F7</f>
        <v>-22000</v>
      </c>
      <c r="G44" s="19" t="n">
        <f aca="false">-INDEX(hc_tl,1,G6)*cc_tl*G7</f>
        <v>-22000</v>
      </c>
      <c r="H44" s="19" t="n">
        <f aca="false">-INDEX(hc_tl,1,H6)*cc_tl*H7</f>
        <v>-22000</v>
      </c>
      <c r="I44" s="19" t="n">
        <f aca="false">-INDEX(hc_tl,1,I6)*cc_tl*I7</f>
        <v>-22000</v>
      </c>
      <c r="J44" s="19" t="n">
        <f aca="false">-INDEX(hc_tl,1,J6)*cc_tl*J7</f>
        <v>-22000</v>
      </c>
      <c r="K44" s="19" t="n">
        <f aca="false">-INDEX(hc_tl,1,K6)*cc_tl*K7</f>
        <v>-22000</v>
      </c>
      <c r="L44" s="19" t="n">
        <f aca="false">-INDEX(hc_tl,1,L6)*cc_tl*L7</f>
        <v>-22000</v>
      </c>
      <c r="M44" s="19" t="n">
        <f aca="false">-INDEX(hc_tl,1,M6)*cc_tl*M7</f>
        <v>-22000</v>
      </c>
      <c r="N44" s="19" t="n">
        <f aca="false">-INDEX(hc_tl,1,N6)*cc_tl*N7</f>
        <v>-22000</v>
      </c>
      <c r="O44" s="19" t="n">
        <f aca="false">-INDEX(hc_tl,1,O6)*cc_tl*O7</f>
        <v>-23100</v>
      </c>
      <c r="P44" s="19" t="n">
        <f aca="false">-INDEX(hc_tl,1,P6)*cc_tl*P7</f>
        <v>-23100</v>
      </c>
      <c r="Q44" s="19" t="n">
        <f aca="false">-INDEX(hc_tl,1,Q6)*cc_tl*Q7</f>
        <v>-23100</v>
      </c>
      <c r="R44" s="19" t="n">
        <f aca="false">-INDEX(hc_tl,1,R6)*cc_tl*R7</f>
        <v>-23100</v>
      </c>
      <c r="S44" s="19" t="n">
        <f aca="false">-INDEX(hc_tl,1,S6)*cc_tl*S7</f>
        <v>-23100</v>
      </c>
      <c r="T44" s="19" t="n">
        <f aca="false">-INDEX(hc_tl,1,T6)*cc_tl*T7</f>
        <v>-23100</v>
      </c>
      <c r="U44" s="19" t="n">
        <f aca="false">-INDEX(hc_tl,1,U6)*cc_tl*U7</f>
        <v>-23100</v>
      </c>
      <c r="V44" s="19" t="n">
        <f aca="false">-INDEX(hc_tl,1,V6)*cc_tl*V7</f>
        <v>-23100</v>
      </c>
      <c r="W44" s="19" t="n">
        <f aca="false">-INDEX(hc_tl,1,W6)*cc_tl*W7</f>
        <v>-23100</v>
      </c>
      <c r="X44" s="19" t="n">
        <f aca="false">-INDEX(hc_tl,1,X6)*cc_tl*X7</f>
        <v>-23100</v>
      </c>
      <c r="Y44" s="19" t="n">
        <f aca="false">-INDEX(hc_tl,1,Y6)*cc_tl*Y7</f>
        <v>-23100</v>
      </c>
      <c r="Z44" s="19" t="n">
        <f aca="false">-INDEX(hc_tl,1,Z6)*cc_tl*Z7</f>
        <v>-23100</v>
      </c>
      <c r="AA44" s="19" t="n">
        <f aca="false">-INDEX(hc_tl,1,AA6)*cc_tl*AA7</f>
        <v>-24255</v>
      </c>
      <c r="AB44" s="19" t="n">
        <f aca="false">-INDEX(hc_tl,1,AB6)*cc_tl*AB7</f>
        <v>-24255</v>
      </c>
      <c r="AC44" s="19" t="n">
        <f aca="false">-INDEX(hc_tl,1,AC6)*cc_tl*AC7</f>
        <v>-24255</v>
      </c>
      <c r="AD44" s="19" t="n">
        <f aca="false">-INDEX(hc_tl,1,AD6)*cc_tl*AD7</f>
        <v>-24255</v>
      </c>
      <c r="AE44" s="19" t="n">
        <f aca="false">-INDEX(hc_tl,1,AE6)*cc_tl*AE7</f>
        <v>-24255</v>
      </c>
      <c r="AF44" s="19" t="n">
        <f aca="false">-INDEX(hc_tl,1,AF6)*cc_tl*AF7</f>
        <v>-24255</v>
      </c>
      <c r="AG44" s="19" t="n">
        <f aca="false">-INDEX(hc_tl,1,AG6)*cc_tl*AG7</f>
        <v>-24255</v>
      </c>
      <c r="AH44" s="19" t="n">
        <f aca="false">-INDEX(hc_tl,1,AH6)*cc_tl*AH7</f>
        <v>-24255</v>
      </c>
      <c r="AI44" s="19" t="n">
        <f aca="false">-INDEX(hc_tl,1,AI6)*cc_tl*AI7</f>
        <v>-24255</v>
      </c>
      <c r="AJ44" s="19" t="n">
        <f aca="false">-INDEX(hc_tl,1,AJ6)*cc_tl*AJ7</f>
        <v>-24255</v>
      </c>
      <c r="AK44" s="19" t="n">
        <f aca="false">-INDEX(hc_tl,1,AK6)*cc_tl*AK7</f>
        <v>-24255</v>
      </c>
      <c r="AL44" s="19" t="n">
        <f aca="false">-INDEX(hc_tl,1,AL6)*cc_tl*AL7</f>
        <v>-24255</v>
      </c>
      <c r="AM44" s="19" t="n">
        <f aca="false">-INDEX(hc_tl,1,AM6)*cc_tl*AM7</f>
        <v>-25467.75</v>
      </c>
      <c r="AN44" s="19" t="n">
        <f aca="false">-INDEX(hc_tl,1,AN6)*cc_tl*AN7</f>
        <v>-25467.75</v>
      </c>
      <c r="AO44" s="19" t="n">
        <f aca="false">-INDEX(hc_tl,1,AO6)*cc_tl*AO7</f>
        <v>-25467.75</v>
      </c>
      <c r="AP44" s="19" t="n">
        <f aca="false">-INDEX(hc_tl,1,AP6)*cc_tl*AP7</f>
        <v>-25467.75</v>
      </c>
      <c r="AQ44" s="19" t="n">
        <f aca="false">-INDEX(hc_tl,1,AQ6)*cc_tl*AQ7</f>
        <v>-25467.75</v>
      </c>
      <c r="AR44" s="19" t="n">
        <f aca="false">-INDEX(hc_tl,1,AR6)*cc_tl*AR7</f>
        <v>-25467.75</v>
      </c>
      <c r="AS44" s="19" t="n">
        <f aca="false">-INDEX(hc_tl,1,AS6)*cc_tl*AS7</f>
        <v>-25467.75</v>
      </c>
      <c r="AT44" s="19" t="n">
        <f aca="false">-INDEX(hc_tl,1,AT6)*cc_tl*AT7</f>
        <v>-25467.75</v>
      </c>
      <c r="AU44" s="19" t="n">
        <f aca="false">-INDEX(hc_tl,1,AU6)*cc_tl*AU7</f>
        <v>-25467.75</v>
      </c>
      <c r="AV44" s="19" t="n">
        <f aca="false">-INDEX(hc_tl,1,AV6)*cc_tl*AV7</f>
        <v>-25467.75</v>
      </c>
      <c r="AW44" s="19" t="n">
        <f aca="false">-INDEX(hc_tl,1,AW6)*cc_tl*AW7</f>
        <v>-25467.75</v>
      </c>
      <c r="AX44" s="19" t="n">
        <f aca="false">-INDEX(hc_tl,1,AX6)*cc_tl*AX7</f>
        <v>-25467.75</v>
      </c>
      <c r="AY44" s="19" t="n">
        <f aca="false">-INDEX(hc_tl,1,AY6)*cc_tl*AY7</f>
        <v>-26741.1375</v>
      </c>
      <c r="AZ44" s="19" t="n">
        <f aca="false">-INDEX(hc_tl,1,AZ6)*cc_tl*AZ7</f>
        <v>-26741.1375</v>
      </c>
      <c r="BA44" s="19" t="n">
        <f aca="false">-INDEX(hc_tl,1,BA6)*cc_tl*BA7</f>
        <v>-26741.1375</v>
      </c>
      <c r="BB44" s="19" t="n">
        <f aca="false">-INDEX(hc_tl,1,BB6)*cc_tl*BB7</f>
        <v>-26741.1375</v>
      </c>
      <c r="BC44" s="19" t="n">
        <f aca="false">-INDEX(hc_tl,1,BC6)*cc_tl*BC7</f>
        <v>-26741.1375</v>
      </c>
      <c r="BD44" s="19" t="n">
        <f aca="false">-INDEX(hc_tl,1,BD6)*cc_tl*BD7</f>
        <v>-26741.1375</v>
      </c>
      <c r="BE44" s="19" t="n">
        <f aca="false">-INDEX(hc_tl,1,BE6)*cc_tl*BE7</f>
        <v>-26741.1375</v>
      </c>
      <c r="BF44" s="19" t="n">
        <f aca="false">-INDEX(hc_tl,1,BF6)*cc_tl*BF7</f>
        <v>-26741.1375</v>
      </c>
      <c r="BG44" s="19" t="n">
        <f aca="false">-INDEX(hc_tl,1,BG6)*cc_tl*BG7</f>
        <v>-26741.1375</v>
      </c>
      <c r="BH44" s="19" t="n">
        <f aca="false">-INDEX(hc_tl,1,BH6)*cc_tl*BH7</f>
        <v>-26741.1375</v>
      </c>
      <c r="BI44" s="19" t="n">
        <f aca="false">-INDEX(hc_tl,1,BI6)*cc_tl*BI7</f>
        <v>-26741.1375</v>
      </c>
      <c r="BJ44" s="19" t="n">
        <f aca="false">-INDEX(hc_tl,1,BJ6)*cc_tl*BJ7</f>
        <v>-26741.1375</v>
      </c>
    </row>
    <row r="45" customFormat="false" ht="15" hidden="false" customHeight="false" outlineLevel="0" collapsed="false">
      <c r="A45" s="4" t="s">
        <v>531</v>
      </c>
      <c r="B45" s="4" t="s">
        <v>67</v>
      </c>
      <c r="C45" s="19" t="n">
        <f aca="false">-INDEX(hc_dev,1,C6)*cc_dev*C7</f>
        <v>-32000</v>
      </c>
      <c r="D45" s="19" t="n">
        <f aca="false">-INDEX(hc_dev,1,D6)*cc_dev*D7</f>
        <v>-32000</v>
      </c>
      <c r="E45" s="19" t="n">
        <f aca="false">-INDEX(hc_dev,1,E6)*cc_dev*E7</f>
        <v>-32000</v>
      </c>
      <c r="F45" s="19" t="n">
        <f aca="false">-INDEX(hc_dev,1,F6)*cc_dev*F7</f>
        <v>-32000</v>
      </c>
      <c r="G45" s="19" t="n">
        <f aca="false">-INDEX(hc_dev,1,G6)*cc_dev*G7</f>
        <v>-32000</v>
      </c>
      <c r="H45" s="19" t="n">
        <f aca="false">-INDEX(hc_dev,1,H6)*cc_dev*H7</f>
        <v>-32000</v>
      </c>
      <c r="I45" s="19" t="n">
        <f aca="false">-INDEX(hc_dev,1,I6)*cc_dev*I7</f>
        <v>-32000</v>
      </c>
      <c r="J45" s="19" t="n">
        <f aca="false">-INDEX(hc_dev,1,J6)*cc_dev*J7</f>
        <v>-32000</v>
      </c>
      <c r="K45" s="19" t="n">
        <f aca="false">-INDEX(hc_dev,1,K6)*cc_dev*K7</f>
        <v>-32000</v>
      </c>
      <c r="L45" s="19" t="n">
        <f aca="false">-INDEX(hc_dev,1,L6)*cc_dev*L7</f>
        <v>-32000</v>
      </c>
      <c r="M45" s="19" t="n">
        <f aca="false">-INDEX(hc_dev,1,M6)*cc_dev*M7</f>
        <v>-32000</v>
      </c>
      <c r="N45" s="19" t="n">
        <f aca="false">-INDEX(hc_dev,1,N6)*cc_dev*N7</f>
        <v>-32000</v>
      </c>
      <c r="O45" s="19" t="n">
        <f aca="false">-INDEX(hc_dev,1,O6)*cc_dev*O7</f>
        <v>-50400</v>
      </c>
      <c r="P45" s="19" t="n">
        <f aca="false">-INDEX(hc_dev,1,P6)*cc_dev*P7</f>
        <v>-50400</v>
      </c>
      <c r="Q45" s="19" t="n">
        <f aca="false">-INDEX(hc_dev,1,Q6)*cc_dev*Q7</f>
        <v>-50400</v>
      </c>
      <c r="R45" s="19" t="n">
        <f aca="false">-INDEX(hc_dev,1,R6)*cc_dev*R7</f>
        <v>-50400</v>
      </c>
      <c r="S45" s="19" t="n">
        <f aca="false">-INDEX(hc_dev,1,S6)*cc_dev*S7</f>
        <v>-50400</v>
      </c>
      <c r="T45" s="19" t="n">
        <f aca="false">-INDEX(hc_dev,1,T6)*cc_dev*T7</f>
        <v>-50400</v>
      </c>
      <c r="U45" s="19" t="n">
        <f aca="false">-INDEX(hc_dev,1,U6)*cc_dev*U7</f>
        <v>-50400</v>
      </c>
      <c r="V45" s="19" t="n">
        <f aca="false">-INDEX(hc_dev,1,V6)*cc_dev*V7</f>
        <v>-50400</v>
      </c>
      <c r="W45" s="19" t="n">
        <f aca="false">-INDEX(hc_dev,1,W6)*cc_dev*W7</f>
        <v>-50400</v>
      </c>
      <c r="X45" s="19" t="n">
        <f aca="false">-INDEX(hc_dev,1,X6)*cc_dev*X7</f>
        <v>-50400</v>
      </c>
      <c r="Y45" s="19" t="n">
        <f aca="false">-INDEX(hc_dev,1,Y6)*cc_dev*Y7</f>
        <v>-50400</v>
      </c>
      <c r="Z45" s="19" t="n">
        <f aca="false">-INDEX(hc_dev,1,Z6)*cc_dev*Z7</f>
        <v>-50400</v>
      </c>
      <c r="AA45" s="19" t="n">
        <f aca="false">-INDEX(hc_dev,1,AA6)*cc_dev*AA7</f>
        <v>-52920</v>
      </c>
      <c r="AB45" s="19" t="n">
        <f aca="false">-INDEX(hc_dev,1,AB6)*cc_dev*AB7</f>
        <v>-52920</v>
      </c>
      <c r="AC45" s="19" t="n">
        <f aca="false">-INDEX(hc_dev,1,AC6)*cc_dev*AC7</f>
        <v>-52920</v>
      </c>
      <c r="AD45" s="19" t="n">
        <f aca="false">-INDEX(hc_dev,1,AD6)*cc_dev*AD7</f>
        <v>-52920</v>
      </c>
      <c r="AE45" s="19" t="n">
        <f aca="false">-INDEX(hc_dev,1,AE6)*cc_dev*AE7</f>
        <v>-52920</v>
      </c>
      <c r="AF45" s="19" t="n">
        <f aca="false">-INDEX(hc_dev,1,AF6)*cc_dev*AF7</f>
        <v>-52920</v>
      </c>
      <c r="AG45" s="19" t="n">
        <f aca="false">-INDEX(hc_dev,1,AG6)*cc_dev*AG7</f>
        <v>-52920</v>
      </c>
      <c r="AH45" s="19" t="n">
        <f aca="false">-INDEX(hc_dev,1,AH6)*cc_dev*AH7</f>
        <v>-52920</v>
      </c>
      <c r="AI45" s="19" t="n">
        <f aca="false">-INDEX(hc_dev,1,AI6)*cc_dev*AI7</f>
        <v>-52920</v>
      </c>
      <c r="AJ45" s="19" t="n">
        <f aca="false">-INDEX(hc_dev,1,AJ6)*cc_dev*AJ7</f>
        <v>-52920</v>
      </c>
      <c r="AK45" s="19" t="n">
        <f aca="false">-INDEX(hc_dev,1,AK6)*cc_dev*AK7</f>
        <v>-52920</v>
      </c>
      <c r="AL45" s="19" t="n">
        <f aca="false">-INDEX(hc_dev,1,AL6)*cc_dev*AL7</f>
        <v>-52920</v>
      </c>
      <c r="AM45" s="19" t="n">
        <f aca="false">-INDEX(hc_dev,1,AM6)*cc_dev*AM7</f>
        <v>-74088</v>
      </c>
      <c r="AN45" s="19" t="n">
        <f aca="false">-INDEX(hc_dev,1,AN6)*cc_dev*AN7</f>
        <v>-74088</v>
      </c>
      <c r="AO45" s="19" t="n">
        <f aca="false">-INDEX(hc_dev,1,AO6)*cc_dev*AO7</f>
        <v>-74088</v>
      </c>
      <c r="AP45" s="19" t="n">
        <f aca="false">-INDEX(hc_dev,1,AP6)*cc_dev*AP7</f>
        <v>-74088</v>
      </c>
      <c r="AQ45" s="19" t="n">
        <f aca="false">-INDEX(hc_dev,1,AQ6)*cc_dev*AQ7</f>
        <v>-74088</v>
      </c>
      <c r="AR45" s="19" t="n">
        <f aca="false">-INDEX(hc_dev,1,AR6)*cc_dev*AR7</f>
        <v>-74088</v>
      </c>
      <c r="AS45" s="19" t="n">
        <f aca="false">-INDEX(hc_dev,1,AS6)*cc_dev*AS7</f>
        <v>-74088</v>
      </c>
      <c r="AT45" s="19" t="n">
        <f aca="false">-INDEX(hc_dev,1,AT6)*cc_dev*AT7</f>
        <v>-74088</v>
      </c>
      <c r="AU45" s="19" t="n">
        <f aca="false">-INDEX(hc_dev,1,AU6)*cc_dev*AU7</f>
        <v>-74088</v>
      </c>
      <c r="AV45" s="19" t="n">
        <f aca="false">-INDEX(hc_dev,1,AV6)*cc_dev*AV7</f>
        <v>-74088</v>
      </c>
      <c r="AW45" s="19" t="n">
        <f aca="false">-INDEX(hc_dev,1,AW6)*cc_dev*AW7</f>
        <v>-74088</v>
      </c>
      <c r="AX45" s="19" t="n">
        <f aca="false">-INDEX(hc_dev,1,AX6)*cc_dev*AX7</f>
        <v>-74088</v>
      </c>
      <c r="AY45" s="19" t="n">
        <f aca="false">-INDEX(hc_dev,1,AY6)*cc_dev*AY7</f>
        <v>-97240.5</v>
      </c>
      <c r="AZ45" s="19" t="n">
        <f aca="false">-INDEX(hc_dev,1,AZ6)*cc_dev*AZ7</f>
        <v>-97240.5</v>
      </c>
      <c r="BA45" s="19" t="n">
        <f aca="false">-INDEX(hc_dev,1,BA6)*cc_dev*BA7</f>
        <v>-97240.5</v>
      </c>
      <c r="BB45" s="19" t="n">
        <f aca="false">-INDEX(hc_dev,1,BB6)*cc_dev*BB7</f>
        <v>-97240.5</v>
      </c>
      <c r="BC45" s="19" t="n">
        <f aca="false">-INDEX(hc_dev,1,BC6)*cc_dev*BC7</f>
        <v>-97240.5</v>
      </c>
      <c r="BD45" s="19" t="n">
        <f aca="false">-INDEX(hc_dev,1,BD6)*cc_dev*BD7</f>
        <v>-97240.5</v>
      </c>
      <c r="BE45" s="19" t="n">
        <f aca="false">-INDEX(hc_dev,1,BE6)*cc_dev*BE7</f>
        <v>-97240.5</v>
      </c>
      <c r="BF45" s="19" t="n">
        <f aca="false">-INDEX(hc_dev,1,BF6)*cc_dev*BF7</f>
        <v>-97240.5</v>
      </c>
      <c r="BG45" s="19" t="n">
        <f aca="false">-INDEX(hc_dev,1,BG6)*cc_dev*BG7</f>
        <v>-97240.5</v>
      </c>
      <c r="BH45" s="19" t="n">
        <f aca="false">-INDEX(hc_dev,1,BH6)*cc_dev*BH7</f>
        <v>-97240.5</v>
      </c>
      <c r="BI45" s="19" t="n">
        <f aca="false">-INDEX(hc_dev,1,BI6)*cc_dev*BI7</f>
        <v>-97240.5</v>
      </c>
      <c r="BJ45" s="19" t="n">
        <f aca="false">-INDEX(hc_dev,1,BJ6)*cc_dev*BJ7</f>
        <v>-97240.5</v>
      </c>
    </row>
    <row r="46" customFormat="false" ht="15" hidden="false" customHeight="false" outlineLevel="0" collapsed="false">
      <c r="A46" s="4" t="s">
        <v>532</v>
      </c>
      <c r="B46" s="4" t="s">
        <v>67</v>
      </c>
      <c r="C46" s="19" t="n">
        <f aca="false">-INDEX(hc_data,1,C6)*cc_data*C7</f>
        <v>-0</v>
      </c>
      <c r="D46" s="19" t="n">
        <f aca="false">-INDEX(hc_data,1,D6)*cc_data*D7</f>
        <v>-0</v>
      </c>
      <c r="E46" s="19" t="n">
        <f aca="false">-INDEX(hc_data,1,E6)*cc_data*E7</f>
        <v>-0</v>
      </c>
      <c r="F46" s="19" t="n">
        <f aca="false">-INDEX(hc_data,1,F6)*cc_data*F7</f>
        <v>-0</v>
      </c>
      <c r="G46" s="19" t="n">
        <f aca="false">-INDEX(hc_data,1,G6)*cc_data*G7</f>
        <v>-0</v>
      </c>
      <c r="H46" s="19" t="n">
        <f aca="false">-INDEX(hc_data,1,H6)*cc_data*H7</f>
        <v>-0</v>
      </c>
      <c r="I46" s="19" t="n">
        <f aca="false">-INDEX(hc_data,1,I6)*cc_data*I7</f>
        <v>-0</v>
      </c>
      <c r="J46" s="19" t="n">
        <f aca="false">-INDEX(hc_data,1,J6)*cc_data*J7</f>
        <v>-0</v>
      </c>
      <c r="K46" s="19" t="n">
        <f aca="false">-INDEX(hc_data,1,K6)*cc_data*K7</f>
        <v>-0</v>
      </c>
      <c r="L46" s="19" t="n">
        <f aca="false">-INDEX(hc_data,1,L6)*cc_data*L7</f>
        <v>-0</v>
      </c>
      <c r="M46" s="19" t="n">
        <f aca="false">-INDEX(hc_data,1,M6)*cc_data*M7</f>
        <v>-0</v>
      </c>
      <c r="N46" s="19" t="n">
        <f aca="false">-INDEX(hc_data,1,N6)*cc_data*N7</f>
        <v>-0</v>
      </c>
      <c r="O46" s="19" t="n">
        <f aca="false">-INDEX(hc_data,1,O6)*cc_data*O7</f>
        <v>-17850</v>
      </c>
      <c r="P46" s="19" t="n">
        <f aca="false">-INDEX(hc_data,1,P6)*cc_data*P7</f>
        <v>-17850</v>
      </c>
      <c r="Q46" s="19" t="n">
        <f aca="false">-INDEX(hc_data,1,Q6)*cc_data*Q7</f>
        <v>-17850</v>
      </c>
      <c r="R46" s="19" t="n">
        <f aca="false">-INDEX(hc_data,1,R6)*cc_data*R7</f>
        <v>-17850</v>
      </c>
      <c r="S46" s="19" t="n">
        <f aca="false">-INDEX(hc_data,1,S6)*cc_data*S7</f>
        <v>-17850</v>
      </c>
      <c r="T46" s="19" t="n">
        <f aca="false">-INDEX(hc_data,1,T6)*cc_data*T7</f>
        <v>-17850</v>
      </c>
      <c r="U46" s="19" t="n">
        <f aca="false">-INDEX(hc_data,1,U6)*cc_data*U7</f>
        <v>-17850</v>
      </c>
      <c r="V46" s="19" t="n">
        <f aca="false">-INDEX(hc_data,1,V6)*cc_data*V7</f>
        <v>-17850</v>
      </c>
      <c r="W46" s="19" t="n">
        <f aca="false">-INDEX(hc_data,1,W6)*cc_data*W7</f>
        <v>-17850</v>
      </c>
      <c r="X46" s="19" t="n">
        <f aca="false">-INDEX(hc_data,1,X6)*cc_data*X7</f>
        <v>-17850</v>
      </c>
      <c r="Y46" s="19" t="n">
        <f aca="false">-INDEX(hc_data,1,Y6)*cc_data*Y7</f>
        <v>-17850</v>
      </c>
      <c r="Z46" s="19" t="n">
        <f aca="false">-INDEX(hc_data,1,Z6)*cc_data*Z7</f>
        <v>-17850</v>
      </c>
      <c r="AA46" s="19" t="n">
        <f aca="false">-INDEX(hc_data,1,AA6)*cc_data*AA7</f>
        <v>-18742.5</v>
      </c>
      <c r="AB46" s="19" t="n">
        <f aca="false">-INDEX(hc_data,1,AB6)*cc_data*AB7</f>
        <v>-18742.5</v>
      </c>
      <c r="AC46" s="19" t="n">
        <f aca="false">-INDEX(hc_data,1,AC6)*cc_data*AC7</f>
        <v>-18742.5</v>
      </c>
      <c r="AD46" s="19" t="n">
        <f aca="false">-INDEX(hc_data,1,AD6)*cc_data*AD7</f>
        <v>-18742.5</v>
      </c>
      <c r="AE46" s="19" t="n">
        <f aca="false">-INDEX(hc_data,1,AE6)*cc_data*AE7</f>
        <v>-18742.5</v>
      </c>
      <c r="AF46" s="19" t="n">
        <f aca="false">-INDEX(hc_data,1,AF6)*cc_data*AF7</f>
        <v>-18742.5</v>
      </c>
      <c r="AG46" s="19" t="n">
        <f aca="false">-INDEX(hc_data,1,AG6)*cc_data*AG7</f>
        <v>-18742.5</v>
      </c>
      <c r="AH46" s="19" t="n">
        <f aca="false">-INDEX(hc_data,1,AH6)*cc_data*AH7</f>
        <v>-18742.5</v>
      </c>
      <c r="AI46" s="19" t="n">
        <f aca="false">-INDEX(hc_data,1,AI6)*cc_data*AI7</f>
        <v>-18742.5</v>
      </c>
      <c r="AJ46" s="19" t="n">
        <f aca="false">-INDEX(hc_data,1,AJ6)*cc_data*AJ7</f>
        <v>-18742.5</v>
      </c>
      <c r="AK46" s="19" t="n">
        <f aca="false">-INDEX(hc_data,1,AK6)*cc_data*AK7</f>
        <v>-18742.5</v>
      </c>
      <c r="AL46" s="19" t="n">
        <f aca="false">-INDEX(hc_data,1,AL6)*cc_data*AL7</f>
        <v>-18742.5</v>
      </c>
      <c r="AM46" s="19" t="n">
        <f aca="false">-INDEX(hc_data,1,AM6)*cc_data*AM7</f>
        <v>-19679.625</v>
      </c>
      <c r="AN46" s="19" t="n">
        <f aca="false">-INDEX(hc_data,1,AN6)*cc_data*AN7</f>
        <v>-19679.625</v>
      </c>
      <c r="AO46" s="19" t="n">
        <f aca="false">-INDEX(hc_data,1,AO6)*cc_data*AO7</f>
        <v>-19679.625</v>
      </c>
      <c r="AP46" s="19" t="n">
        <f aca="false">-INDEX(hc_data,1,AP6)*cc_data*AP7</f>
        <v>-19679.625</v>
      </c>
      <c r="AQ46" s="19" t="n">
        <f aca="false">-INDEX(hc_data,1,AQ6)*cc_data*AQ7</f>
        <v>-19679.625</v>
      </c>
      <c r="AR46" s="19" t="n">
        <f aca="false">-INDEX(hc_data,1,AR6)*cc_data*AR7</f>
        <v>-19679.625</v>
      </c>
      <c r="AS46" s="19" t="n">
        <f aca="false">-INDEX(hc_data,1,AS6)*cc_data*AS7</f>
        <v>-19679.625</v>
      </c>
      <c r="AT46" s="19" t="n">
        <f aca="false">-INDEX(hc_data,1,AT6)*cc_data*AT7</f>
        <v>-19679.625</v>
      </c>
      <c r="AU46" s="19" t="n">
        <f aca="false">-INDEX(hc_data,1,AU6)*cc_data*AU7</f>
        <v>-19679.625</v>
      </c>
      <c r="AV46" s="19" t="n">
        <f aca="false">-INDEX(hc_data,1,AV6)*cc_data*AV7</f>
        <v>-19679.625</v>
      </c>
      <c r="AW46" s="19" t="n">
        <f aca="false">-INDEX(hc_data,1,AW6)*cc_data*AW7</f>
        <v>-19679.625</v>
      </c>
      <c r="AX46" s="19" t="n">
        <f aca="false">-INDEX(hc_data,1,AX6)*cc_data*AX7</f>
        <v>-19679.625</v>
      </c>
      <c r="AY46" s="19" t="n">
        <f aca="false">-INDEX(hc_data,1,AY6)*cc_data*AY7</f>
        <v>-41327.2125</v>
      </c>
      <c r="AZ46" s="19" t="n">
        <f aca="false">-INDEX(hc_data,1,AZ6)*cc_data*AZ7</f>
        <v>-41327.2125</v>
      </c>
      <c r="BA46" s="19" t="n">
        <f aca="false">-INDEX(hc_data,1,BA6)*cc_data*BA7</f>
        <v>-41327.2125</v>
      </c>
      <c r="BB46" s="19" t="n">
        <f aca="false">-INDEX(hc_data,1,BB6)*cc_data*BB7</f>
        <v>-41327.2125</v>
      </c>
      <c r="BC46" s="19" t="n">
        <f aca="false">-INDEX(hc_data,1,BC6)*cc_data*BC7</f>
        <v>-41327.2125</v>
      </c>
      <c r="BD46" s="19" t="n">
        <f aca="false">-INDEX(hc_data,1,BD6)*cc_data*BD7</f>
        <v>-41327.2125</v>
      </c>
      <c r="BE46" s="19" t="n">
        <f aca="false">-INDEX(hc_data,1,BE6)*cc_data*BE7</f>
        <v>-41327.2125</v>
      </c>
      <c r="BF46" s="19" t="n">
        <f aca="false">-INDEX(hc_data,1,BF6)*cc_data*BF7</f>
        <v>-41327.2125</v>
      </c>
      <c r="BG46" s="19" t="n">
        <f aca="false">-INDEX(hc_data,1,BG6)*cc_data*BG7</f>
        <v>-41327.2125</v>
      </c>
      <c r="BH46" s="19" t="n">
        <f aca="false">-INDEX(hc_data,1,BH6)*cc_data*BH7</f>
        <v>-41327.2125</v>
      </c>
      <c r="BI46" s="19" t="n">
        <f aca="false">-INDEX(hc_data,1,BI6)*cc_data*BI7</f>
        <v>-41327.2125</v>
      </c>
      <c r="BJ46" s="19" t="n">
        <f aca="false">-INDEX(hc_data,1,BJ6)*cc_data*BJ7</f>
        <v>-41327.2125</v>
      </c>
    </row>
    <row r="47" customFormat="false" ht="15" hidden="false" customHeight="false" outlineLevel="0" collapsed="false">
      <c r="A47" s="4" t="s">
        <v>533</v>
      </c>
      <c r="B47" s="4" t="s">
        <v>67</v>
      </c>
      <c r="C47" s="19" t="n">
        <f aca="false">-INDEX(hc_prod,1,C6)*cc_prod*C7</f>
        <v>-15000</v>
      </c>
      <c r="D47" s="19" t="n">
        <f aca="false">-INDEX(hc_prod,1,D6)*cc_prod*D7</f>
        <v>-15000</v>
      </c>
      <c r="E47" s="19" t="n">
        <f aca="false">-INDEX(hc_prod,1,E6)*cc_prod*E7</f>
        <v>-15000</v>
      </c>
      <c r="F47" s="19" t="n">
        <f aca="false">-INDEX(hc_prod,1,F6)*cc_prod*F7</f>
        <v>-15000</v>
      </c>
      <c r="G47" s="19" t="n">
        <f aca="false">-INDEX(hc_prod,1,G6)*cc_prod*G7</f>
        <v>-15000</v>
      </c>
      <c r="H47" s="19" t="n">
        <f aca="false">-INDEX(hc_prod,1,H6)*cc_prod*H7</f>
        <v>-15000</v>
      </c>
      <c r="I47" s="19" t="n">
        <f aca="false">-INDEX(hc_prod,1,I6)*cc_prod*I7</f>
        <v>-15000</v>
      </c>
      <c r="J47" s="19" t="n">
        <f aca="false">-INDEX(hc_prod,1,J6)*cc_prod*J7</f>
        <v>-15000</v>
      </c>
      <c r="K47" s="19" t="n">
        <f aca="false">-INDEX(hc_prod,1,K6)*cc_prod*K7</f>
        <v>-15000</v>
      </c>
      <c r="L47" s="19" t="n">
        <f aca="false">-INDEX(hc_prod,1,L6)*cc_prod*L7</f>
        <v>-15000</v>
      </c>
      <c r="M47" s="19" t="n">
        <f aca="false">-INDEX(hc_prod,1,M6)*cc_prod*M7</f>
        <v>-15000</v>
      </c>
      <c r="N47" s="19" t="n">
        <f aca="false">-INDEX(hc_prod,1,N6)*cc_prod*N7</f>
        <v>-15000</v>
      </c>
      <c r="O47" s="19" t="n">
        <f aca="false">-INDEX(hc_prod,1,O6)*cc_prod*O7</f>
        <v>-15750</v>
      </c>
      <c r="P47" s="19" t="n">
        <f aca="false">-INDEX(hc_prod,1,P6)*cc_prod*P7</f>
        <v>-15750</v>
      </c>
      <c r="Q47" s="19" t="n">
        <f aca="false">-INDEX(hc_prod,1,Q6)*cc_prod*Q7</f>
        <v>-15750</v>
      </c>
      <c r="R47" s="19" t="n">
        <f aca="false">-INDEX(hc_prod,1,R6)*cc_prod*R7</f>
        <v>-15750</v>
      </c>
      <c r="S47" s="19" t="n">
        <f aca="false">-INDEX(hc_prod,1,S6)*cc_prod*S7</f>
        <v>-15750</v>
      </c>
      <c r="T47" s="19" t="n">
        <f aca="false">-INDEX(hc_prod,1,T6)*cc_prod*T7</f>
        <v>-15750</v>
      </c>
      <c r="U47" s="19" t="n">
        <f aca="false">-INDEX(hc_prod,1,U6)*cc_prod*U7</f>
        <v>-15750</v>
      </c>
      <c r="V47" s="19" t="n">
        <f aca="false">-INDEX(hc_prod,1,V6)*cc_prod*V7</f>
        <v>-15750</v>
      </c>
      <c r="W47" s="19" t="n">
        <f aca="false">-INDEX(hc_prod,1,W6)*cc_prod*W7</f>
        <v>-15750</v>
      </c>
      <c r="X47" s="19" t="n">
        <f aca="false">-INDEX(hc_prod,1,X6)*cc_prod*X7</f>
        <v>-15750</v>
      </c>
      <c r="Y47" s="19" t="n">
        <f aca="false">-INDEX(hc_prod,1,Y6)*cc_prod*Y7</f>
        <v>-15750</v>
      </c>
      <c r="Z47" s="19" t="n">
        <f aca="false">-INDEX(hc_prod,1,Z6)*cc_prod*Z7</f>
        <v>-15750</v>
      </c>
      <c r="AA47" s="19" t="n">
        <f aca="false">-INDEX(hc_prod,1,AA6)*cc_prod*AA7</f>
        <v>-16537.5</v>
      </c>
      <c r="AB47" s="19" t="n">
        <f aca="false">-INDEX(hc_prod,1,AB6)*cc_prod*AB7</f>
        <v>-16537.5</v>
      </c>
      <c r="AC47" s="19" t="n">
        <f aca="false">-INDEX(hc_prod,1,AC6)*cc_prod*AC7</f>
        <v>-16537.5</v>
      </c>
      <c r="AD47" s="19" t="n">
        <f aca="false">-INDEX(hc_prod,1,AD6)*cc_prod*AD7</f>
        <v>-16537.5</v>
      </c>
      <c r="AE47" s="19" t="n">
        <f aca="false">-INDEX(hc_prod,1,AE6)*cc_prod*AE7</f>
        <v>-16537.5</v>
      </c>
      <c r="AF47" s="19" t="n">
        <f aca="false">-INDEX(hc_prod,1,AF6)*cc_prod*AF7</f>
        <v>-16537.5</v>
      </c>
      <c r="AG47" s="19" t="n">
        <f aca="false">-INDEX(hc_prod,1,AG6)*cc_prod*AG7</f>
        <v>-16537.5</v>
      </c>
      <c r="AH47" s="19" t="n">
        <f aca="false">-INDEX(hc_prod,1,AH6)*cc_prod*AH7</f>
        <v>-16537.5</v>
      </c>
      <c r="AI47" s="19" t="n">
        <f aca="false">-INDEX(hc_prod,1,AI6)*cc_prod*AI7</f>
        <v>-16537.5</v>
      </c>
      <c r="AJ47" s="19" t="n">
        <f aca="false">-INDEX(hc_prod,1,AJ6)*cc_prod*AJ7</f>
        <v>-16537.5</v>
      </c>
      <c r="AK47" s="19" t="n">
        <f aca="false">-INDEX(hc_prod,1,AK6)*cc_prod*AK7</f>
        <v>-16537.5</v>
      </c>
      <c r="AL47" s="19" t="n">
        <f aca="false">-INDEX(hc_prod,1,AL6)*cc_prod*AL7</f>
        <v>-16537.5</v>
      </c>
      <c r="AM47" s="19" t="n">
        <f aca="false">-INDEX(hc_prod,1,AM6)*cc_prod*AM7</f>
        <v>-17364.375</v>
      </c>
      <c r="AN47" s="19" t="n">
        <f aca="false">-INDEX(hc_prod,1,AN6)*cc_prod*AN7</f>
        <v>-17364.375</v>
      </c>
      <c r="AO47" s="19" t="n">
        <f aca="false">-INDEX(hc_prod,1,AO6)*cc_prod*AO7</f>
        <v>-17364.375</v>
      </c>
      <c r="AP47" s="19" t="n">
        <f aca="false">-INDEX(hc_prod,1,AP6)*cc_prod*AP7</f>
        <v>-17364.375</v>
      </c>
      <c r="AQ47" s="19" t="n">
        <f aca="false">-INDEX(hc_prod,1,AQ6)*cc_prod*AQ7</f>
        <v>-17364.375</v>
      </c>
      <c r="AR47" s="19" t="n">
        <f aca="false">-INDEX(hc_prod,1,AR6)*cc_prod*AR7</f>
        <v>-17364.375</v>
      </c>
      <c r="AS47" s="19" t="n">
        <f aca="false">-INDEX(hc_prod,1,AS6)*cc_prod*AS7</f>
        <v>-17364.375</v>
      </c>
      <c r="AT47" s="19" t="n">
        <f aca="false">-INDEX(hc_prod,1,AT6)*cc_prod*AT7</f>
        <v>-17364.375</v>
      </c>
      <c r="AU47" s="19" t="n">
        <f aca="false">-INDEX(hc_prod,1,AU6)*cc_prod*AU7</f>
        <v>-17364.375</v>
      </c>
      <c r="AV47" s="19" t="n">
        <f aca="false">-INDEX(hc_prod,1,AV6)*cc_prod*AV7</f>
        <v>-17364.375</v>
      </c>
      <c r="AW47" s="19" t="n">
        <f aca="false">-INDEX(hc_prod,1,AW6)*cc_prod*AW7</f>
        <v>-17364.375</v>
      </c>
      <c r="AX47" s="19" t="n">
        <f aca="false">-INDEX(hc_prod,1,AX6)*cc_prod*AX7</f>
        <v>-17364.375</v>
      </c>
      <c r="AY47" s="19" t="n">
        <f aca="false">-INDEX(hc_prod,1,AY6)*cc_prod*AY7</f>
        <v>-36465.1875</v>
      </c>
      <c r="AZ47" s="19" t="n">
        <f aca="false">-INDEX(hc_prod,1,AZ6)*cc_prod*AZ7</f>
        <v>-36465.1875</v>
      </c>
      <c r="BA47" s="19" t="n">
        <f aca="false">-INDEX(hc_prod,1,BA6)*cc_prod*BA7</f>
        <v>-36465.1875</v>
      </c>
      <c r="BB47" s="19" t="n">
        <f aca="false">-INDEX(hc_prod,1,BB6)*cc_prod*BB7</f>
        <v>-36465.1875</v>
      </c>
      <c r="BC47" s="19" t="n">
        <f aca="false">-INDEX(hc_prod,1,BC6)*cc_prod*BC7</f>
        <v>-36465.1875</v>
      </c>
      <c r="BD47" s="19" t="n">
        <f aca="false">-INDEX(hc_prod,1,BD6)*cc_prod*BD7</f>
        <v>-36465.1875</v>
      </c>
      <c r="BE47" s="19" t="n">
        <f aca="false">-INDEX(hc_prod,1,BE6)*cc_prod*BE7</f>
        <v>-36465.1875</v>
      </c>
      <c r="BF47" s="19" t="n">
        <f aca="false">-INDEX(hc_prod,1,BF6)*cc_prod*BF7</f>
        <v>-36465.1875</v>
      </c>
      <c r="BG47" s="19" t="n">
        <f aca="false">-INDEX(hc_prod,1,BG6)*cc_prod*BG7</f>
        <v>-36465.1875</v>
      </c>
      <c r="BH47" s="19" t="n">
        <f aca="false">-INDEX(hc_prod,1,BH6)*cc_prod*BH7</f>
        <v>-36465.1875</v>
      </c>
      <c r="BI47" s="19" t="n">
        <f aca="false">-INDEX(hc_prod,1,BI6)*cc_prod*BI7</f>
        <v>-36465.1875</v>
      </c>
      <c r="BJ47" s="19" t="n">
        <f aca="false">-INDEX(hc_prod,1,BJ6)*cc_prod*BJ7</f>
        <v>-36465.1875</v>
      </c>
    </row>
    <row r="48" customFormat="false" ht="15" hidden="false" customHeight="false" outlineLevel="0" collapsed="false">
      <c r="A48" s="4" t="s">
        <v>534</v>
      </c>
      <c r="B48" s="4" t="s">
        <v>67</v>
      </c>
      <c r="C48" s="19" t="n">
        <f aca="false">-INDEX(hc_zoo,1,C6)*cc_zoo*C7</f>
        <v>-12000</v>
      </c>
      <c r="D48" s="19" t="n">
        <f aca="false">-INDEX(hc_zoo,1,D6)*cc_zoo*D7</f>
        <v>-12000</v>
      </c>
      <c r="E48" s="19" t="n">
        <f aca="false">-INDEX(hc_zoo,1,E6)*cc_zoo*E7</f>
        <v>-12000</v>
      </c>
      <c r="F48" s="19" t="n">
        <f aca="false">-INDEX(hc_zoo,1,F6)*cc_zoo*F7</f>
        <v>-12000</v>
      </c>
      <c r="G48" s="19" t="n">
        <f aca="false">-INDEX(hc_zoo,1,G6)*cc_zoo*G7</f>
        <v>-12000</v>
      </c>
      <c r="H48" s="19" t="n">
        <f aca="false">-INDEX(hc_zoo,1,H6)*cc_zoo*H7</f>
        <v>-12000</v>
      </c>
      <c r="I48" s="19" t="n">
        <f aca="false">-INDEX(hc_zoo,1,I6)*cc_zoo*I7</f>
        <v>-12000</v>
      </c>
      <c r="J48" s="19" t="n">
        <f aca="false">-INDEX(hc_zoo,1,J6)*cc_zoo*J7</f>
        <v>-12000</v>
      </c>
      <c r="K48" s="19" t="n">
        <f aca="false">-INDEX(hc_zoo,1,K6)*cc_zoo*K7</f>
        <v>-12000</v>
      </c>
      <c r="L48" s="19" t="n">
        <f aca="false">-INDEX(hc_zoo,1,L6)*cc_zoo*L7</f>
        <v>-12000</v>
      </c>
      <c r="M48" s="19" t="n">
        <f aca="false">-INDEX(hc_zoo,1,M6)*cc_zoo*M7</f>
        <v>-12000</v>
      </c>
      <c r="N48" s="19" t="n">
        <f aca="false">-INDEX(hc_zoo,1,N6)*cc_zoo*N7</f>
        <v>-12000</v>
      </c>
      <c r="O48" s="19" t="n">
        <f aca="false">-INDEX(hc_zoo,1,O6)*cc_zoo*O7</f>
        <v>-12600</v>
      </c>
      <c r="P48" s="19" t="n">
        <f aca="false">-INDEX(hc_zoo,1,P6)*cc_zoo*P7</f>
        <v>-12600</v>
      </c>
      <c r="Q48" s="19" t="n">
        <f aca="false">-INDEX(hc_zoo,1,Q6)*cc_zoo*Q7</f>
        <v>-12600</v>
      </c>
      <c r="R48" s="19" t="n">
        <f aca="false">-INDEX(hc_zoo,1,R6)*cc_zoo*R7</f>
        <v>-12600</v>
      </c>
      <c r="S48" s="19" t="n">
        <f aca="false">-INDEX(hc_zoo,1,S6)*cc_zoo*S7</f>
        <v>-12600</v>
      </c>
      <c r="T48" s="19" t="n">
        <f aca="false">-INDEX(hc_zoo,1,T6)*cc_zoo*T7</f>
        <v>-12600</v>
      </c>
      <c r="U48" s="19" t="n">
        <f aca="false">-INDEX(hc_zoo,1,U6)*cc_zoo*U7</f>
        <v>-12600</v>
      </c>
      <c r="V48" s="19" t="n">
        <f aca="false">-INDEX(hc_zoo,1,V6)*cc_zoo*V7</f>
        <v>-12600</v>
      </c>
      <c r="W48" s="19" t="n">
        <f aca="false">-INDEX(hc_zoo,1,W6)*cc_zoo*W7</f>
        <v>-12600</v>
      </c>
      <c r="X48" s="19" t="n">
        <f aca="false">-INDEX(hc_zoo,1,X6)*cc_zoo*X7</f>
        <v>-12600</v>
      </c>
      <c r="Y48" s="19" t="n">
        <f aca="false">-INDEX(hc_zoo,1,Y6)*cc_zoo*Y7</f>
        <v>-12600</v>
      </c>
      <c r="Z48" s="19" t="n">
        <f aca="false">-INDEX(hc_zoo,1,Z6)*cc_zoo*Z7</f>
        <v>-12600</v>
      </c>
      <c r="AA48" s="19" t="n">
        <f aca="false">-INDEX(hc_zoo,1,AA6)*cc_zoo*AA7</f>
        <v>-13230</v>
      </c>
      <c r="AB48" s="19" t="n">
        <f aca="false">-INDEX(hc_zoo,1,AB6)*cc_zoo*AB7</f>
        <v>-13230</v>
      </c>
      <c r="AC48" s="19" t="n">
        <f aca="false">-INDEX(hc_zoo,1,AC6)*cc_zoo*AC7</f>
        <v>-13230</v>
      </c>
      <c r="AD48" s="19" t="n">
        <f aca="false">-INDEX(hc_zoo,1,AD6)*cc_zoo*AD7</f>
        <v>-13230</v>
      </c>
      <c r="AE48" s="19" t="n">
        <f aca="false">-INDEX(hc_zoo,1,AE6)*cc_zoo*AE7</f>
        <v>-13230</v>
      </c>
      <c r="AF48" s="19" t="n">
        <f aca="false">-INDEX(hc_zoo,1,AF6)*cc_zoo*AF7</f>
        <v>-13230</v>
      </c>
      <c r="AG48" s="19" t="n">
        <f aca="false">-INDEX(hc_zoo,1,AG6)*cc_zoo*AG7</f>
        <v>-13230</v>
      </c>
      <c r="AH48" s="19" t="n">
        <f aca="false">-INDEX(hc_zoo,1,AH6)*cc_zoo*AH7</f>
        <v>-13230</v>
      </c>
      <c r="AI48" s="19" t="n">
        <f aca="false">-INDEX(hc_zoo,1,AI6)*cc_zoo*AI7</f>
        <v>-13230</v>
      </c>
      <c r="AJ48" s="19" t="n">
        <f aca="false">-INDEX(hc_zoo,1,AJ6)*cc_zoo*AJ7</f>
        <v>-13230</v>
      </c>
      <c r="AK48" s="19" t="n">
        <f aca="false">-INDEX(hc_zoo,1,AK6)*cc_zoo*AK7</f>
        <v>-13230</v>
      </c>
      <c r="AL48" s="19" t="n">
        <f aca="false">-INDEX(hc_zoo,1,AL6)*cc_zoo*AL7</f>
        <v>-13230</v>
      </c>
      <c r="AM48" s="19" t="n">
        <f aca="false">-INDEX(hc_zoo,1,AM6)*cc_zoo*AM7</f>
        <v>-27783</v>
      </c>
      <c r="AN48" s="19" t="n">
        <f aca="false">-INDEX(hc_zoo,1,AN6)*cc_zoo*AN7</f>
        <v>-27783</v>
      </c>
      <c r="AO48" s="19" t="n">
        <f aca="false">-INDEX(hc_zoo,1,AO6)*cc_zoo*AO7</f>
        <v>-27783</v>
      </c>
      <c r="AP48" s="19" t="n">
        <f aca="false">-INDEX(hc_zoo,1,AP6)*cc_zoo*AP7</f>
        <v>-27783</v>
      </c>
      <c r="AQ48" s="19" t="n">
        <f aca="false">-INDEX(hc_zoo,1,AQ6)*cc_zoo*AQ7</f>
        <v>-27783</v>
      </c>
      <c r="AR48" s="19" t="n">
        <f aca="false">-INDEX(hc_zoo,1,AR6)*cc_zoo*AR7</f>
        <v>-27783</v>
      </c>
      <c r="AS48" s="19" t="n">
        <f aca="false">-INDEX(hc_zoo,1,AS6)*cc_zoo*AS7</f>
        <v>-27783</v>
      </c>
      <c r="AT48" s="19" t="n">
        <f aca="false">-INDEX(hc_zoo,1,AT6)*cc_zoo*AT7</f>
        <v>-27783</v>
      </c>
      <c r="AU48" s="19" t="n">
        <f aca="false">-INDEX(hc_zoo,1,AU6)*cc_zoo*AU7</f>
        <v>-27783</v>
      </c>
      <c r="AV48" s="19" t="n">
        <f aca="false">-INDEX(hc_zoo,1,AV6)*cc_zoo*AV7</f>
        <v>-27783</v>
      </c>
      <c r="AW48" s="19" t="n">
        <f aca="false">-INDEX(hc_zoo,1,AW6)*cc_zoo*AW7</f>
        <v>-27783</v>
      </c>
      <c r="AX48" s="19" t="n">
        <f aca="false">-INDEX(hc_zoo,1,AX6)*cc_zoo*AX7</f>
        <v>-27783</v>
      </c>
      <c r="AY48" s="19" t="n">
        <f aca="false">-INDEX(hc_zoo,1,AY6)*cc_zoo*AY7</f>
        <v>-29172.15</v>
      </c>
      <c r="AZ48" s="19" t="n">
        <f aca="false">-INDEX(hc_zoo,1,AZ6)*cc_zoo*AZ7</f>
        <v>-29172.15</v>
      </c>
      <c r="BA48" s="19" t="n">
        <f aca="false">-INDEX(hc_zoo,1,BA6)*cc_zoo*BA7</f>
        <v>-29172.15</v>
      </c>
      <c r="BB48" s="19" t="n">
        <f aca="false">-INDEX(hc_zoo,1,BB6)*cc_zoo*BB7</f>
        <v>-29172.15</v>
      </c>
      <c r="BC48" s="19" t="n">
        <f aca="false">-INDEX(hc_zoo,1,BC6)*cc_zoo*BC7</f>
        <v>-29172.15</v>
      </c>
      <c r="BD48" s="19" t="n">
        <f aca="false">-INDEX(hc_zoo,1,BD6)*cc_zoo*BD7</f>
        <v>-29172.15</v>
      </c>
      <c r="BE48" s="19" t="n">
        <f aca="false">-INDEX(hc_zoo,1,BE6)*cc_zoo*BE7</f>
        <v>-29172.15</v>
      </c>
      <c r="BF48" s="19" t="n">
        <f aca="false">-INDEX(hc_zoo,1,BF6)*cc_zoo*BF7</f>
        <v>-29172.15</v>
      </c>
      <c r="BG48" s="19" t="n">
        <f aca="false">-INDEX(hc_zoo,1,BG6)*cc_zoo*BG7</f>
        <v>-29172.15</v>
      </c>
      <c r="BH48" s="19" t="n">
        <f aca="false">-INDEX(hc_zoo,1,BH6)*cc_zoo*BH7</f>
        <v>-29172.15</v>
      </c>
      <c r="BI48" s="19" t="n">
        <f aca="false">-INDEX(hc_zoo,1,BI6)*cc_zoo*BI7</f>
        <v>-29172.15</v>
      </c>
      <c r="BJ48" s="19" t="n">
        <f aca="false">-INDEX(hc_zoo,1,BJ6)*cc_zoo*BJ7</f>
        <v>-29172.15</v>
      </c>
    </row>
    <row r="49" customFormat="false" ht="15" hidden="false" customHeight="false" outlineLevel="0" collapsed="false">
      <c r="A49" s="4" t="s">
        <v>535</v>
      </c>
      <c r="B49" s="4" t="s">
        <v>67</v>
      </c>
      <c r="C49" s="19" t="n">
        <f aca="false">-INDEX(hc_sales,1,C6)*cc_sales*C7</f>
        <v>-9000</v>
      </c>
      <c r="D49" s="19" t="n">
        <f aca="false">-INDEX(hc_sales,1,D6)*cc_sales*D7</f>
        <v>-9000</v>
      </c>
      <c r="E49" s="19" t="n">
        <f aca="false">-INDEX(hc_sales,1,E6)*cc_sales*E7</f>
        <v>-9000</v>
      </c>
      <c r="F49" s="19" t="n">
        <f aca="false">-INDEX(hc_sales,1,F6)*cc_sales*F7</f>
        <v>-9000</v>
      </c>
      <c r="G49" s="19" t="n">
        <f aca="false">-INDEX(hc_sales,1,G6)*cc_sales*G7</f>
        <v>-9000</v>
      </c>
      <c r="H49" s="19" t="n">
        <f aca="false">-INDEX(hc_sales,1,H6)*cc_sales*H7</f>
        <v>-9000</v>
      </c>
      <c r="I49" s="19" t="n">
        <f aca="false">-INDEX(hc_sales,1,I6)*cc_sales*I7</f>
        <v>-9000</v>
      </c>
      <c r="J49" s="19" t="n">
        <f aca="false">-INDEX(hc_sales,1,J6)*cc_sales*J7</f>
        <v>-9000</v>
      </c>
      <c r="K49" s="19" t="n">
        <f aca="false">-INDEX(hc_sales,1,K6)*cc_sales*K7</f>
        <v>-9000</v>
      </c>
      <c r="L49" s="19" t="n">
        <f aca="false">-INDEX(hc_sales,1,L6)*cc_sales*L7</f>
        <v>-9000</v>
      </c>
      <c r="M49" s="19" t="n">
        <f aca="false">-INDEX(hc_sales,1,M6)*cc_sales*M7</f>
        <v>-9000</v>
      </c>
      <c r="N49" s="19" t="n">
        <f aca="false">-INDEX(hc_sales,1,N6)*cc_sales*N7</f>
        <v>-9000</v>
      </c>
      <c r="O49" s="19" t="n">
        <f aca="false">-INDEX(hc_sales,1,O6)*cc_sales*O7</f>
        <v>-18900</v>
      </c>
      <c r="P49" s="19" t="n">
        <f aca="false">-INDEX(hc_sales,1,P6)*cc_sales*P7</f>
        <v>-18900</v>
      </c>
      <c r="Q49" s="19" t="n">
        <f aca="false">-INDEX(hc_sales,1,Q6)*cc_sales*Q7</f>
        <v>-18900</v>
      </c>
      <c r="R49" s="19" t="n">
        <f aca="false">-INDEX(hc_sales,1,R6)*cc_sales*R7</f>
        <v>-18900</v>
      </c>
      <c r="S49" s="19" t="n">
        <f aca="false">-INDEX(hc_sales,1,S6)*cc_sales*S7</f>
        <v>-18900</v>
      </c>
      <c r="T49" s="19" t="n">
        <f aca="false">-INDEX(hc_sales,1,T6)*cc_sales*T7</f>
        <v>-18900</v>
      </c>
      <c r="U49" s="19" t="n">
        <f aca="false">-INDEX(hc_sales,1,U6)*cc_sales*U7</f>
        <v>-18900</v>
      </c>
      <c r="V49" s="19" t="n">
        <f aca="false">-INDEX(hc_sales,1,V6)*cc_sales*V7</f>
        <v>-18900</v>
      </c>
      <c r="W49" s="19" t="n">
        <f aca="false">-INDEX(hc_sales,1,W6)*cc_sales*W7</f>
        <v>-18900</v>
      </c>
      <c r="X49" s="19" t="n">
        <f aca="false">-INDEX(hc_sales,1,X6)*cc_sales*X7</f>
        <v>-18900</v>
      </c>
      <c r="Y49" s="19" t="n">
        <f aca="false">-INDEX(hc_sales,1,Y6)*cc_sales*Y7</f>
        <v>-18900</v>
      </c>
      <c r="Z49" s="19" t="n">
        <f aca="false">-INDEX(hc_sales,1,Z6)*cc_sales*Z7</f>
        <v>-18900</v>
      </c>
      <c r="AA49" s="19" t="n">
        <f aca="false">-INDEX(hc_sales,1,AA6)*cc_sales*AA7</f>
        <v>-19845</v>
      </c>
      <c r="AB49" s="19" t="n">
        <f aca="false">-INDEX(hc_sales,1,AB6)*cc_sales*AB7</f>
        <v>-19845</v>
      </c>
      <c r="AC49" s="19" t="n">
        <f aca="false">-INDEX(hc_sales,1,AC6)*cc_sales*AC7</f>
        <v>-19845</v>
      </c>
      <c r="AD49" s="19" t="n">
        <f aca="false">-INDEX(hc_sales,1,AD6)*cc_sales*AD7</f>
        <v>-19845</v>
      </c>
      <c r="AE49" s="19" t="n">
        <f aca="false">-INDEX(hc_sales,1,AE6)*cc_sales*AE7</f>
        <v>-19845</v>
      </c>
      <c r="AF49" s="19" t="n">
        <f aca="false">-INDEX(hc_sales,1,AF6)*cc_sales*AF7</f>
        <v>-19845</v>
      </c>
      <c r="AG49" s="19" t="n">
        <f aca="false">-INDEX(hc_sales,1,AG6)*cc_sales*AG7</f>
        <v>-19845</v>
      </c>
      <c r="AH49" s="19" t="n">
        <f aca="false">-INDEX(hc_sales,1,AH6)*cc_sales*AH7</f>
        <v>-19845</v>
      </c>
      <c r="AI49" s="19" t="n">
        <f aca="false">-INDEX(hc_sales,1,AI6)*cc_sales*AI7</f>
        <v>-19845</v>
      </c>
      <c r="AJ49" s="19" t="n">
        <f aca="false">-INDEX(hc_sales,1,AJ6)*cc_sales*AJ7</f>
        <v>-19845</v>
      </c>
      <c r="AK49" s="19" t="n">
        <f aca="false">-INDEX(hc_sales,1,AK6)*cc_sales*AK7</f>
        <v>-19845</v>
      </c>
      <c r="AL49" s="19" t="n">
        <f aca="false">-INDEX(hc_sales,1,AL6)*cc_sales*AL7</f>
        <v>-19845</v>
      </c>
      <c r="AM49" s="19" t="n">
        <f aca="false">-INDEX(hc_sales,1,AM6)*cc_sales*AM7</f>
        <v>-31255.875</v>
      </c>
      <c r="AN49" s="19" t="n">
        <f aca="false">-INDEX(hc_sales,1,AN6)*cc_sales*AN7</f>
        <v>-31255.875</v>
      </c>
      <c r="AO49" s="19" t="n">
        <f aca="false">-INDEX(hc_sales,1,AO6)*cc_sales*AO7</f>
        <v>-31255.875</v>
      </c>
      <c r="AP49" s="19" t="n">
        <f aca="false">-INDEX(hc_sales,1,AP6)*cc_sales*AP7</f>
        <v>-31255.875</v>
      </c>
      <c r="AQ49" s="19" t="n">
        <f aca="false">-INDEX(hc_sales,1,AQ6)*cc_sales*AQ7</f>
        <v>-31255.875</v>
      </c>
      <c r="AR49" s="19" t="n">
        <f aca="false">-INDEX(hc_sales,1,AR6)*cc_sales*AR7</f>
        <v>-31255.875</v>
      </c>
      <c r="AS49" s="19" t="n">
        <f aca="false">-INDEX(hc_sales,1,AS6)*cc_sales*AS7</f>
        <v>-31255.875</v>
      </c>
      <c r="AT49" s="19" t="n">
        <f aca="false">-INDEX(hc_sales,1,AT6)*cc_sales*AT7</f>
        <v>-31255.875</v>
      </c>
      <c r="AU49" s="19" t="n">
        <f aca="false">-INDEX(hc_sales,1,AU6)*cc_sales*AU7</f>
        <v>-31255.875</v>
      </c>
      <c r="AV49" s="19" t="n">
        <f aca="false">-INDEX(hc_sales,1,AV6)*cc_sales*AV7</f>
        <v>-31255.875</v>
      </c>
      <c r="AW49" s="19" t="n">
        <f aca="false">-INDEX(hc_sales,1,AW6)*cc_sales*AW7</f>
        <v>-31255.875</v>
      </c>
      <c r="AX49" s="19" t="n">
        <f aca="false">-INDEX(hc_sales,1,AX6)*cc_sales*AX7</f>
        <v>-31255.875</v>
      </c>
      <c r="AY49" s="19" t="n">
        <f aca="false">-INDEX(hc_sales,1,AY6)*cc_sales*AY7</f>
        <v>-32818.66875</v>
      </c>
      <c r="AZ49" s="19" t="n">
        <f aca="false">-INDEX(hc_sales,1,AZ6)*cc_sales*AZ7</f>
        <v>-32818.66875</v>
      </c>
      <c r="BA49" s="19" t="n">
        <f aca="false">-INDEX(hc_sales,1,BA6)*cc_sales*BA7</f>
        <v>-32818.66875</v>
      </c>
      <c r="BB49" s="19" t="n">
        <f aca="false">-INDEX(hc_sales,1,BB6)*cc_sales*BB7</f>
        <v>-32818.66875</v>
      </c>
      <c r="BC49" s="19" t="n">
        <f aca="false">-INDEX(hc_sales,1,BC6)*cc_sales*BC7</f>
        <v>-32818.66875</v>
      </c>
      <c r="BD49" s="19" t="n">
        <f aca="false">-INDEX(hc_sales,1,BD6)*cc_sales*BD7</f>
        <v>-32818.66875</v>
      </c>
      <c r="BE49" s="19" t="n">
        <f aca="false">-INDEX(hc_sales,1,BE6)*cc_sales*BE7</f>
        <v>-32818.66875</v>
      </c>
      <c r="BF49" s="19" t="n">
        <f aca="false">-INDEX(hc_sales,1,BF6)*cc_sales*BF7</f>
        <v>-32818.66875</v>
      </c>
      <c r="BG49" s="19" t="n">
        <f aca="false">-INDEX(hc_sales,1,BG6)*cc_sales*BG7</f>
        <v>-32818.66875</v>
      </c>
      <c r="BH49" s="19" t="n">
        <f aca="false">-INDEX(hc_sales,1,BH6)*cc_sales*BH7</f>
        <v>-32818.66875</v>
      </c>
      <c r="BI49" s="19" t="n">
        <f aca="false">-INDEX(hc_sales,1,BI6)*cc_sales*BI7</f>
        <v>-32818.66875</v>
      </c>
      <c r="BJ49" s="19" t="n">
        <f aca="false">-INDEX(hc_sales,1,BJ6)*cc_sales*BJ7</f>
        <v>-32818.66875</v>
      </c>
    </row>
    <row r="50" customFormat="false" ht="15" hidden="false" customHeight="false" outlineLevel="0" collapsed="false">
      <c r="A50" s="4" t="s">
        <v>536</v>
      </c>
      <c r="B50" s="4" t="s">
        <v>67</v>
      </c>
      <c r="C50" s="19" t="n">
        <f aca="false">-INDEX(hc_mkt,1,C6)*cc_mkt*C7</f>
        <v>-0</v>
      </c>
      <c r="D50" s="19" t="n">
        <f aca="false">-INDEX(hc_mkt,1,D6)*cc_mkt*D7</f>
        <v>-0</v>
      </c>
      <c r="E50" s="19" t="n">
        <f aca="false">-INDEX(hc_mkt,1,E6)*cc_mkt*E7</f>
        <v>-0</v>
      </c>
      <c r="F50" s="19" t="n">
        <f aca="false">-INDEX(hc_mkt,1,F6)*cc_mkt*F7</f>
        <v>-0</v>
      </c>
      <c r="G50" s="19" t="n">
        <f aca="false">-INDEX(hc_mkt,1,G6)*cc_mkt*G7</f>
        <v>-0</v>
      </c>
      <c r="H50" s="19" t="n">
        <f aca="false">-INDEX(hc_mkt,1,H6)*cc_mkt*H7</f>
        <v>-0</v>
      </c>
      <c r="I50" s="19" t="n">
        <f aca="false">-INDEX(hc_mkt,1,I6)*cc_mkt*I7</f>
        <v>-0</v>
      </c>
      <c r="J50" s="19" t="n">
        <f aca="false">-INDEX(hc_mkt,1,J6)*cc_mkt*J7</f>
        <v>-0</v>
      </c>
      <c r="K50" s="19" t="n">
        <f aca="false">-INDEX(hc_mkt,1,K6)*cc_mkt*K7</f>
        <v>-0</v>
      </c>
      <c r="L50" s="19" t="n">
        <f aca="false">-INDEX(hc_mkt,1,L6)*cc_mkt*L7</f>
        <v>-0</v>
      </c>
      <c r="M50" s="19" t="n">
        <f aca="false">-INDEX(hc_mkt,1,M6)*cc_mkt*M7</f>
        <v>-0</v>
      </c>
      <c r="N50" s="19" t="n">
        <f aca="false">-INDEX(hc_mkt,1,N6)*cc_mkt*N7</f>
        <v>-0</v>
      </c>
      <c r="O50" s="19" t="n">
        <f aca="false">-INDEX(hc_mkt,1,O6)*cc_mkt*O7</f>
        <v>-8400</v>
      </c>
      <c r="P50" s="19" t="n">
        <f aca="false">-INDEX(hc_mkt,1,P6)*cc_mkt*P7</f>
        <v>-8400</v>
      </c>
      <c r="Q50" s="19" t="n">
        <f aca="false">-INDEX(hc_mkt,1,Q6)*cc_mkt*Q7</f>
        <v>-8400</v>
      </c>
      <c r="R50" s="19" t="n">
        <f aca="false">-INDEX(hc_mkt,1,R6)*cc_mkt*R7</f>
        <v>-8400</v>
      </c>
      <c r="S50" s="19" t="n">
        <f aca="false">-INDEX(hc_mkt,1,S6)*cc_mkt*S7</f>
        <v>-8400</v>
      </c>
      <c r="T50" s="19" t="n">
        <f aca="false">-INDEX(hc_mkt,1,T6)*cc_mkt*T7</f>
        <v>-8400</v>
      </c>
      <c r="U50" s="19" t="n">
        <f aca="false">-INDEX(hc_mkt,1,U6)*cc_mkt*U7</f>
        <v>-8400</v>
      </c>
      <c r="V50" s="19" t="n">
        <f aca="false">-INDEX(hc_mkt,1,V6)*cc_mkt*V7</f>
        <v>-8400</v>
      </c>
      <c r="W50" s="19" t="n">
        <f aca="false">-INDEX(hc_mkt,1,W6)*cc_mkt*W7</f>
        <v>-8400</v>
      </c>
      <c r="X50" s="19" t="n">
        <f aca="false">-INDEX(hc_mkt,1,X6)*cc_mkt*X7</f>
        <v>-8400</v>
      </c>
      <c r="Y50" s="19" t="n">
        <f aca="false">-INDEX(hc_mkt,1,Y6)*cc_mkt*Y7</f>
        <v>-8400</v>
      </c>
      <c r="Z50" s="19" t="n">
        <f aca="false">-INDEX(hc_mkt,1,Z6)*cc_mkt*Z7</f>
        <v>-8400</v>
      </c>
      <c r="AA50" s="19" t="n">
        <f aca="false">-INDEX(hc_mkt,1,AA6)*cc_mkt*AA7</f>
        <v>-8820</v>
      </c>
      <c r="AB50" s="19" t="n">
        <f aca="false">-INDEX(hc_mkt,1,AB6)*cc_mkt*AB7</f>
        <v>-8820</v>
      </c>
      <c r="AC50" s="19" t="n">
        <f aca="false">-INDEX(hc_mkt,1,AC6)*cc_mkt*AC7</f>
        <v>-8820</v>
      </c>
      <c r="AD50" s="19" t="n">
        <f aca="false">-INDEX(hc_mkt,1,AD6)*cc_mkt*AD7</f>
        <v>-8820</v>
      </c>
      <c r="AE50" s="19" t="n">
        <f aca="false">-INDEX(hc_mkt,1,AE6)*cc_mkt*AE7</f>
        <v>-8820</v>
      </c>
      <c r="AF50" s="19" t="n">
        <f aca="false">-INDEX(hc_mkt,1,AF6)*cc_mkt*AF7</f>
        <v>-8820</v>
      </c>
      <c r="AG50" s="19" t="n">
        <f aca="false">-INDEX(hc_mkt,1,AG6)*cc_mkt*AG7</f>
        <v>-8820</v>
      </c>
      <c r="AH50" s="19" t="n">
        <f aca="false">-INDEX(hc_mkt,1,AH6)*cc_mkt*AH7</f>
        <v>-8820</v>
      </c>
      <c r="AI50" s="19" t="n">
        <f aca="false">-INDEX(hc_mkt,1,AI6)*cc_mkt*AI7</f>
        <v>-8820</v>
      </c>
      <c r="AJ50" s="19" t="n">
        <f aca="false">-INDEX(hc_mkt,1,AJ6)*cc_mkt*AJ7</f>
        <v>-8820</v>
      </c>
      <c r="AK50" s="19" t="n">
        <f aca="false">-INDEX(hc_mkt,1,AK6)*cc_mkt*AK7</f>
        <v>-8820</v>
      </c>
      <c r="AL50" s="19" t="n">
        <f aca="false">-INDEX(hc_mkt,1,AL6)*cc_mkt*AL7</f>
        <v>-8820</v>
      </c>
      <c r="AM50" s="19" t="n">
        <f aca="false">-INDEX(hc_mkt,1,AM6)*cc_mkt*AM7</f>
        <v>-9261</v>
      </c>
      <c r="AN50" s="19" t="n">
        <f aca="false">-INDEX(hc_mkt,1,AN6)*cc_mkt*AN7</f>
        <v>-9261</v>
      </c>
      <c r="AO50" s="19" t="n">
        <f aca="false">-INDEX(hc_mkt,1,AO6)*cc_mkt*AO7</f>
        <v>-9261</v>
      </c>
      <c r="AP50" s="19" t="n">
        <f aca="false">-INDEX(hc_mkt,1,AP6)*cc_mkt*AP7</f>
        <v>-9261</v>
      </c>
      <c r="AQ50" s="19" t="n">
        <f aca="false">-INDEX(hc_mkt,1,AQ6)*cc_mkt*AQ7</f>
        <v>-9261</v>
      </c>
      <c r="AR50" s="19" t="n">
        <f aca="false">-INDEX(hc_mkt,1,AR6)*cc_mkt*AR7</f>
        <v>-9261</v>
      </c>
      <c r="AS50" s="19" t="n">
        <f aca="false">-INDEX(hc_mkt,1,AS6)*cc_mkt*AS7</f>
        <v>-9261</v>
      </c>
      <c r="AT50" s="19" t="n">
        <f aca="false">-INDEX(hc_mkt,1,AT6)*cc_mkt*AT7</f>
        <v>-9261</v>
      </c>
      <c r="AU50" s="19" t="n">
        <f aca="false">-INDEX(hc_mkt,1,AU6)*cc_mkt*AU7</f>
        <v>-9261</v>
      </c>
      <c r="AV50" s="19" t="n">
        <f aca="false">-INDEX(hc_mkt,1,AV6)*cc_mkt*AV7</f>
        <v>-9261</v>
      </c>
      <c r="AW50" s="19" t="n">
        <f aca="false">-INDEX(hc_mkt,1,AW6)*cc_mkt*AW7</f>
        <v>-9261</v>
      </c>
      <c r="AX50" s="19" t="n">
        <f aca="false">-INDEX(hc_mkt,1,AX6)*cc_mkt*AX7</f>
        <v>-9261</v>
      </c>
      <c r="AY50" s="19" t="n">
        <f aca="false">-INDEX(hc_mkt,1,AY6)*cc_mkt*AY7</f>
        <v>-19448.1</v>
      </c>
      <c r="AZ50" s="19" t="n">
        <f aca="false">-INDEX(hc_mkt,1,AZ6)*cc_mkt*AZ7</f>
        <v>-19448.1</v>
      </c>
      <c r="BA50" s="19" t="n">
        <f aca="false">-INDEX(hc_mkt,1,BA6)*cc_mkt*BA7</f>
        <v>-19448.1</v>
      </c>
      <c r="BB50" s="19" t="n">
        <f aca="false">-INDEX(hc_mkt,1,BB6)*cc_mkt*BB7</f>
        <v>-19448.1</v>
      </c>
      <c r="BC50" s="19" t="n">
        <f aca="false">-INDEX(hc_mkt,1,BC6)*cc_mkt*BC7</f>
        <v>-19448.1</v>
      </c>
      <c r="BD50" s="19" t="n">
        <f aca="false">-INDEX(hc_mkt,1,BD6)*cc_mkt*BD7</f>
        <v>-19448.1</v>
      </c>
      <c r="BE50" s="19" t="n">
        <f aca="false">-INDEX(hc_mkt,1,BE6)*cc_mkt*BE7</f>
        <v>-19448.1</v>
      </c>
      <c r="BF50" s="19" t="n">
        <f aca="false">-INDEX(hc_mkt,1,BF6)*cc_mkt*BF7</f>
        <v>-19448.1</v>
      </c>
      <c r="BG50" s="19" t="n">
        <f aca="false">-INDEX(hc_mkt,1,BG6)*cc_mkt*BG7</f>
        <v>-19448.1</v>
      </c>
      <c r="BH50" s="19" t="n">
        <f aca="false">-INDEX(hc_mkt,1,BH6)*cc_mkt*BH7</f>
        <v>-19448.1</v>
      </c>
      <c r="BI50" s="19" t="n">
        <f aca="false">-INDEX(hc_mkt,1,BI6)*cc_mkt*BI7</f>
        <v>-19448.1</v>
      </c>
      <c r="BJ50" s="19" t="n">
        <f aca="false">-INDEX(hc_mkt,1,BJ6)*cc_mkt*BJ7</f>
        <v>-19448.1</v>
      </c>
    </row>
    <row r="51" customFormat="false" ht="15" hidden="false" customHeight="false" outlineLevel="0" collapsed="false">
      <c r="A51" s="4" t="s">
        <v>537</v>
      </c>
      <c r="B51" s="4" t="s">
        <v>67</v>
      </c>
      <c r="C51" s="19" t="n">
        <f aca="false">-INDEX(hc_adm,1,C6)*cc_adm*C7</f>
        <v>-0</v>
      </c>
      <c r="D51" s="19" t="n">
        <f aca="false">-INDEX(hc_adm,1,D6)*cc_adm*D7</f>
        <v>-0</v>
      </c>
      <c r="E51" s="19" t="n">
        <f aca="false">-INDEX(hc_adm,1,E6)*cc_adm*E7</f>
        <v>-0</v>
      </c>
      <c r="F51" s="19" t="n">
        <f aca="false">-INDEX(hc_adm,1,F6)*cc_adm*F7</f>
        <v>-0</v>
      </c>
      <c r="G51" s="19" t="n">
        <f aca="false">-INDEX(hc_adm,1,G6)*cc_adm*G7</f>
        <v>-0</v>
      </c>
      <c r="H51" s="19" t="n">
        <f aca="false">-INDEX(hc_adm,1,H6)*cc_adm*H7</f>
        <v>-0</v>
      </c>
      <c r="I51" s="19" t="n">
        <f aca="false">-INDEX(hc_adm,1,I6)*cc_adm*I7</f>
        <v>-0</v>
      </c>
      <c r="J51" s="19" t="n">
        <f aca="false">-INDEX(hc_adm,1,J6)*cc_adm*J7</f>
        <v>-0</v>
      </c>
      <c r="K51" s="19" t="n">
        <f aca="false">-INDEX(hc_adm,1,K6)*cc_adm*K7</f>
        <v>-0</v>
      </c>
      <c r="L51" s="19" t="n">
        <f aca="false">-INDEX(hc_adm,1,L6)*cc_adm*L7</f>
        <v>-0</v>
      </c>
      <c r="M51" s="19" t="n">
        <f aca="false">-INDEX(hc_adm,1,M6)*cc_adm*M7</f>
        <v>-0</v>
      </c>
      <c r="N51" s="19" t="n">
        <f aca="false">-INDEX(hc_adm,1,N6)*cc_adm*N7</f>
        <v>-0</v>
      </c>
      <c r="O51" s="19" t="n">
        <f aca="false">-INDEX(hc_adm,1,O6)*cc_adm*O7</f>
        <v>-9450</v>
      </c>
      <c r="P51" s="19" t="n">
        <f aca="false">-INDEX(hc_adm,1,P6)*cc_adm*P7</f>
        <v>-9450</v>
      </c>
      <c r="Q51" s="19" t="n">
        <f aca="false">-INDEX(hc_adm,1,Q6)*cc_adm*Q7</f>
        <v>-9450</v>
      </c>
      <c r="R51" s="19" t="n">
        <f aca="false">-INDEX(hc_adm,1,R6)*cc_adm*R7</f>
        <v>-9450</v>
      </c>
      <c r="S51" s="19" t="n">
        <f aca="false">-INDEX(hc_adm,1,S6)*cc_adm*S7</f>
        <v>-9450</v>
      </c>
      <c r="T51" s="19" t="n">
        <f aca="false">-INDEX(hc_adm,1,T6)*cc_adm*T7</f>
        <v>-9450</v>
      </c>
      <c r="U51" s="19" t="n">
        <f aca="false">-INDEX(hc_adm,1,U6)*cc_adm*U7</f>
        <v>-9450</v>
      </c>
      <c r="V51" s="19" t="n">
        <f aca="false">-INDEX(hc_adm,1,V6)*cc_adm*V7</f>
        <v>-9450</v>
      </c>
      <c r="W51" s="19" t="n">
        <f aca="false">-INDEX(hc_adm,1,W6)*cc_adm*W7</f>
        <v>-9450</v>
      </c>
      <c r="X51" s="19" t="n">
        <f aca="false">-INDEX(hc_adm,1,X6)*cc_adm*X7</f>
        <v>-9450</v>
      </c>
      <c r="Y51" s="19" t="n">
        <f aca="false">-INDEX(hc_adm,1,Y6)*cc_adm*Y7</f>
        <v>-9450</v>
      </c>
      <c r="Z51" s="19" t="n">
        <f aca="false">-INDEX(hc_adm,1,Z6)*cc_adm*Z7</f>
        <v>-9450</v>
      </c>
      <c r="AA51" s="19" t="n">
        <f aca="false">-INDEX(hc_adm,1,AA6)*cc_adm*AA7</f>
        <v>-9922.5</v>
      </c>
      <c r="AB51" s="19" t="n">
        <f aca="false">-INDEX(hc_adm,1,AB6)*cc_adm*AB7</f>
        <v>-9922.5</v>
      </c>
      <c r="AC51" s="19" t="n">
        <f aca="false">-INDEX(hc_adm,1,AC6)*cc_adm*AC7</f>
        <v>-9922.5</v>
      </c>
      <c r="AD51" s="19" t="n">
        <f aca="false">-INDEX(hc_adm,1,AD6)*cc_adm*AD7</f>
        <v>-9922.5</v>
      </c>
      <c r="AE51" s="19" t="n">
        <f aca="false">-INDEX(hc_adm,1,AE6)*cc_adm*AE7</f>
        <v>-9922.5</v>
      </c>
      <c r="AF51" s="19" t="n">
        <f aca="false">-INDEX(hc_adm,1,AF6)*cc_adm*AF7</f>
        <v>-9922.5</v>
      </c>
      <c r="AG51" s="19" t="n">
        <f aca="false">-INDEX(hc_adm,1,AG6)*cc_adm*AG7</f>
        <v>-9922.5</v>
      </c>
      <c r="AH51" s="19" t="n">
        <f aca="false">-INDEX(hc_adm,1,AH6)*cc_adm*AH7</f>
        <v>-9922.5</v>
      </c>
      <c r="AI51" s="19" t="n">
        <f aca="false">-INDEX(hc_adm,1,AI6)*cc_adm*AI7</f>
        <v>-9922.5</v>
      </c>
      <c r="AJ51" s="19" t="n">
        <f aca="false">-INDEX(hc_adm,1,AJ6)*cc_adm*AJ7</f>
        <v>-9922.5</v>
      </c>
      <c r="AK51" s="19" t="n">
        <f aca="false">-INDEX(hc_adm,1,AK6)*cc_adm*AK7</f>
        <v>-9922.5</v>
      </c>
      <c r="AL51" s="19" t="n">
        <f aca="false">-INDEX(hc_adm,1,AL6)*cc_adm*AL7</f>
        <v>-9922.5</v>
      </c>
      <c r="AM51" s="19" t="n">
        <f aca="false">-INDEX(hc_adm,1,AM6)*cc_adm*AM7</f>
        <v>-10418.625</v>
      </c>
      <c r="AN51" s="19" t="n">
        <f aca="false">-INDEX(hc_adm,1,AN6)*cc_adm*AN7</f>
        <v>-10418.625</v>
      </c>
      <c r="AO51" s="19" t="n">
        <f aca="false">-INDEX(hc_adm,1,AO6)*cc_adm*AO7</f>
        <v>-10418.625</v>
      </c>
      <c r="AP51" s="19" t="n">
        <f aca="false">-INDEX(hc_adm,1,AP6)*cc_adm*AP7</f>
        <v>-10418.625</v>
      </c>
      <c r="AQ51" s="19" t="n">
        <f aca="false">-INDEX(hc_adm,1,AQ6)*cc_adm*AQ7</f>
        <v>-10418.625</v>
      </c>
      <c r="AR51" s="19" t="n">
        <f aca="false">-INDEX(hc_adm,1,AR6)*cc_adm*AR7</f>
        <v>-10418.625</v>
      </c>
      <c r="AS51" s="19" t="n">
        <f aca="false">-INDEX(hc_adm,1,AS6)*cc_adm*AS7</f>
        <v>-10418.625</v>
      </c>
      <c r="AT51" s="19" t="n">
        <f aca="false">-INDEX(hc_adm,1,AT6)*cc_adm*AT7</f>
        <v>-10418.625</v>
      </c>
      <c r="AU51" s="19" t="n">
        <f aca="false">-INDEX(hc_adm,1,AU6)*cc_adm*AU7</f>
        <v>-10418.625</v>
      </c>
      <c r="AV51" s="19" t="n">
        <f aca="false">-INDEX(hc_adm,1,AV6)*cc_adm*AV7</f>
        <v>-10418.625</v>
      </c>
      <c r="AW51" s="19" t="n">
        <f aca="false">-INDEX(hc_adm,1,AW6)*cc_adm*AW7</f>
        <v>-10418.625</v>
      </c>
      <c r="AX51" s="19" t="n">
        <f aca="false">-INDEX(hc_adm,1,AX6)*cc_adm*AX7</f>
        <v>-10418.625</v>
      </c>
      <c r="AY51" s="19" t="n">
        <f aca="false">-INDEX(hc_adm,1,AY6)*cc_adm*AY7</f>
        <v>-21879.1125</v>
      </c>
      <c r="AZ51" s="19" t="n">
        <f aca="false">-INDEX(hc_adm,1,AZ6)*cc_adm*AZ7</f>
        <v>-21879.1125</v>
      </c>
      <c r="BA51" s="19" t="n">
        <f aca="false">-INDEX(hc_adm,1,BA6)*cc_adm*BA7</f>
        <v>-21879.1125</v>
      </c>
      <c r="BB51" s="19" t="n">
        <f aca="false">-INDEX(hc_adm,1,BB6)*cc_adm*BB7</f>
        <v>-21879.1125</v>
      </c>
      <c r="BC51" s="19" t="n">
        <f aca="false">-INDEX(hc_adm,1,BC6)*cc_adm*BC7</f>
        <v>-21879.1125</v>
      </c>
      <c r="BD51" s="19" t="n">
        <f aca="false">-INDEX(hc_adm,1,BD6)*cc_adm*BD7</f>
        <v>-21879.1125</v>
      </c>
      <c r="BE51" s="19" t="n">
        <f aca="false">-INDEX(hc_adm,1,BE6)*cc_adm*BE7</f>
        <v>-21879.1125</v>
      </c>
      <c r="BF51" s="19" t="n">
        <f aca="false">-INDEX(hc_adm,1,BF6)*cc_adm*BF7</f>
        <v>-21879.1125</v>
      </c>
      <c r="BG51" s="19" t="n">
        <f aca="false">-INDEX(hc_adm,1,BG6)*cc_adm*BG7</f>
        <v>-21879.1125</v>
      </c>
      <c r="BH51" s="19" t="n">
        <f aca="false">-INDEX(hc_adm,1,BH6)*cc_adm*BH7</f>
        <v>-21879.1125</v>
      </c>
      <c r="BI51" s="19" t="n">
        <f aca="false">-INDEX(hc_adm,1,BI6)*cc_adm*BI7</f>
        <v>-21879.1125</v>
      </c>
      <c r="BJ51" s="19" t="n">
        <f aca="false">-INDEX(hc_adm,1,BJ6)*cc_adm*BJ7</f>
        <v>-21879.1125</v>
      </c>
    </row>
    <row r="52" customFormat="false" ht="15" hidden="false" customHeight="false" outlineLevel="0" collapsed="false">
      <c r="A52" s="5" t="s">
        <v>538</v>
      </c>
      <c r="B52" s="4" t="s">
        <v>67</v>
      </c>
      <c r="C52" s="25" t="n">
        <f aca="false">SUM(C43:C51)</f>
        <v>-108000</v>
      </c>
      <c r="D52" s="25" t="n">
        <f aca="false">SUM(D43:D51)</f>
        <v>-108000</v>
      </c>
      <c r="E52" s="25" t="n">
        <f aca="false">SUM(E43:E51)</f>
        <v>-108000</v>
      </c>
      <c r="F52" s="25" t="n">
        <f aca="false">SUM(F43:F51)</f>
        <v>-108000</v>
      </c>
      <c r="G52" s="25" t="n">
        <f aca="false">SUM(G43:G51)</f>
        <v>-108000</v>
      </c>
      <c r="H52" s="25" t="n">
        <f aca="false">SUM(H43:H51)</f>
        <v>-108000</v>
      </c>
      <c r="I52" s="25" t="n">
        <f aca="false">SUM(I43:I51)</f>
        <v>-108000</v>
      </c>
      <c r="J52" s="25" t="n">
        <f aca="false">SUM(J43:J51)</f>
        <v>-108000</v>
      </c>
      <c r="K52" s="25" t="n">
        <f aca="false">SUM(K43:K51)</f>
        <v>-108000</v>
      </c>
      <c r="L52" s="25" t="n">
        <f aca="false">SUM(L43:L51)</f>
        <v>-108000</v>
      </c>
      <c r="M52" s="25" t="n">
        <f aca="false">SUM(M43:M51)</f>
        <v>-108000</v>
      </c>
      <c r="N52" s="25" t="n">
        <f aca="false">SUM(N43:N51)</f>
        <v>-108000</v>
      </c>
      <c r="O52" s="25" t="n">
        <f aca="false">SUM(O43:O51)</f>
        <v>-175350</v>
      </c>
      <c r="P52" s="25" t="n">
        <f aca="false">SUM(P43:P51)</f>
        <v>-175350</v>
      </c>
      <c r="Q52" s="25" t="n">
        <f aca="false">SUM(Q43:Q51)</f>
        <v>-175350</v>
      </c>
      <c r="R52" s="25" t="n">
        <f aca="false">SUM(R43:R51)</f>
        <v>-175350</v>
      </c>
      <c r="S52" s="25" t="n">
        <f aca="false">SUM(S43:S51)</f>
        <v>-175350</v>
      </c>
      <c r="T52" s="25" t="n">
        <f aca="false">SUM(T43:T51)</f>
        <v>-175350</v>
      </c>
      <c r="U52" s="25" t="n">
        <f aca="false">SUM(U43:U51)</f>
        <v>-175350</v>
      </c>
      <c r="V52" s="25" t="n">
        <f aca="false">SUM(V43:V51)</f>
        <v>-175350</v>
      </c>
      <c r="W52" s="25" t="n">
        <f aca="false">SUM(W43:W51)</f>
        <v>-175350</v>
      </c>
      <c r="X52" s="25" t="n">
        <f aca="false">SUM(X43:X51)</f>
        <v>-175350</v>
      </c>
      <c r="Y52" s="25" t="n">
        <f aca="false">SUM(Y43:Y51)</f>
        <v>-175350</v>
      </c>
      <c r="Z52" s="25" t="n">
        <f aca="false">SUM(Z43:Z51)</f>
        <v>-175350</v>
      </c>
      <c r="AA52" s="25" t="n">
        <f aca="false">SUM(AA43:AA51)</f>
        <v>-184117.5</v>
      </c>
      <c r="AB52" s="25" t="n">
        <f aca="false">SUM(AB43:AB51)</f>
        <v>-184117.5</v>
      </c>
      <c r="AC52" s="25" t="n">
        <f aca="false">SUM(AC43:AC51)</f>
        <v>-184117.5</v>
      </c>
      <c r="AD52" s="25" t="n">
        <f aca="false">SUM(AD43:AD51)</f>
        <v>-184117.5</v>
      </c>
      <c r="AE52" s="25" t="n">
        <f aca="false">SUM(AE43:AE51)</f>
        <v>-184117.5</v>
      </c>
      <c r="AF52" s="25" t="n">
        <f aca="false">SUM(AF43:AF51)</f>
        <v>-184117.5</v>
      </c>
      <c r="AG52" s="25" t="n">
        <f aca="false">SUM(AG43:AG51)</f>
        <v>-184117.5</v>
      </c>
      <c r="AH52" s="25" t="n">
        <f aca="false">SUM(AH43:AH51)</f>
        <v>-184117.5</v>
      </c>
      <c r="AI52" s="25" t="n">
        <f aca="false">SUM(AI43:AI51)</f>
        <v>-184117.5</v>
      </c>
      <c r="AJ52" s="25" t="n">
        <f aca="false">SUM(AJ43:AJ51)</f>
        <v>-184117.5</v>
      </c>
      <c r="AK52" s="25" t="n">
        <f aca="false">SUM(AK43:AK51)</f>
        <v>-184117.5</v>
      </c>
      <c r="AL52" s="25" t="n">
        <f aca="false">SUM(AL43:AL51)</f>
        <v>-184117.5</v>
      </c>
      <c r="AM52" s="25" t="n">
        <f aca="false">SUM(AM43:AM51)</f>
        <v>-236155.5</v>
      </c>
      <c r="AN52" s="25" t="n">
        <f aca="false">SUM(AN43:AN51)</f>
        <v>-236155.5</v>
      </c>
      <c r="AO52" s="25" t="n">
        <f aca="false">SUM(AO43:AO51)</f>
        <v>-236155.5</v>
      </c>
      <c r="AP52" s="25" t="n">
        <f aca="false">SUM(AP43:AP51)</f>
        <v>-236155.5</v>
      </c>
      <c r="AQ52" s="25" t="n">
        <f aca="false">SUM(AQ43:AQ51)</f>
        <v>-236155.5</v>
      </c>
      <c r="AR52" s="25" t="n">
        <f aca="false">SUM(AR43:AR51)</f>
        <v>-236155.5</v>
      </c>
      <c r="AS52" s="25" t="n">
        <f aca="false">SUM(AS43:AS51)</f>
        <v>-236155.5</v>
      </c>
      <c r="AT52" s="25" t="n">
        <f aca="false">SUM(AT43:AT51)</f>
        <v>-236155.5</v>
      </c>
      <c r="AU52" s="25" t="n">
        <f aca="false">SUM(AU43:AU51)</f>
        <v>-236155.5</v>
      </c>
      <c r="AV52" s="25" t="n">
        <f aca="false">SUM(AV43:AV51)</f>
        <v>-236155.5</v>
      </c>
      <c r="AW52" s="25" t="n">
        <f aca="false">SUM(AW43:AW51)</f>
        <v>-236155.5</v>
      </c>
      <c r="AX52" s="25" t="n">
        <f aca="false">SUM(AX43:AX51)</f>
        <v>-236155.5</v>
      </c>
      <c r="AY52" s="25" t="n">
        <f aca="false">SUM(AY43:AY51)</f>
        <v>-326971.18125</v>
      </c>
      <c r="AZ52" s="25" t="n">
        <f aca="false">SUM(AZ43:AZ51)</f>
        <v>-326971.18125</v>
      </c>
      <c r="BA52" s="25" t="n">
        <f aca="false">SUM(BA43:BA51)</f>
        <v>-326971.18125</v>
      </c>
      <c r="BB52" s="25" t="n">
        <f aca="false">SUM(BB43:BB51)</f>
        <v>-326971.18125</v>
      </c>
      <c r="BC52" s="25" t="n">
        <f aca="false">SUM(BC43:BC51)</f>
        <v>-326971.18125</v>
      </c>
      <c r="BD52" s="25" t="n">
        <f aca="false">SUM(BD43:BD51)</f>
        <v>-326971.18125</v>
      </c>
      <c r="BE52" s="25" t="n">
        <f aca="false">SUM(BE43:BE51)</f>
        <v>-326971.18125</v>
      </c>
      <c r="BF52" s="25" t="n">
        <f aca="false">SUM(BF43:BF51)</f>
        <v>-326971.18125</v>
      </c>
      <c r="BG52" s="25" t="n">
        <f aca="false">SUM(BG43:BG51)</f>
        <v>-326971.18125</v>
      </c>
      <c r="BH52" s="25" t="n">
        <f aca="false">SUM(BH43:BH51)</f>
        <v>-326971.18125</v>
      </c>
      <c r="BI52" s="25" t="n">
        <f aca="false">SUM(BI43:BI51)</f>
        <v>-326971.18125</v>
      </c>
      <c r="BJ52" s="25" t="n">
        <f aca="false">SUM(BJ43:BJ51)</f>
        <v>-326971.18125</v>
      </c>
    </row>
    <row r="53" customFormat="false" ht="15" hidden="false" customHeight="false" outlineLevel="0" collapsed="false">
      <c r="A53" s="4" t="s">
        <v>539</v>
      </c>
      <c r="B53" s="4" t="s">
        <v>67</v>
      </c>
      <c r="C53" s="19" t="n">
        <f aca="false">-C9*arpa_base*C7*f_price*s_price*12*comm</f>
        <v>-0</v>
      </c>
      <c r="D53" s="19" t="n">
        <f aca="false">-D9*arpa_base*D7*f_price*s_price*12*comm</f>
        <v>-0</v>
      </c>
      <c r="E53" s="19" t="n">
        <f aca="false">-E9*arpa_base*E7*f_price*s_price*12*comm</f>
        <v>-0</v>
      </c>
      <c r="F53" s="19" t="n">
        <f aca="false">-F9*arpa_base*F7*f_price*s_price*12*comm</f>
        <v>-3605.76</v>
      </c>
      <c r="G53" s="19" t="n">
        <f aca="false">-G9*arpa_base*G7*f_price*s_price*12*comm</f>
        <v>-3605.76</v>
      </c>
      <c r="H53" s="19" t="n">
        <f aca="false">-H9*arpa_base*H7*f_price*s_price*12*comm</f>
        <v>-3605.76</v>
      </c>
      <c r="I53" s="19" t="n">
        <f aca="false">-I9*arpa_base*I7*f_price*s_price*12*comm</f>
        <v>-3605.76</v>
      </c>
      <c r="J53" s="19" t="n">
        <f aca="false">-J9*arpa_base*J7*f_price*s_price*12*comm</f>
        <v>-3605.76</v>
      </c>
      <c r="K53" s="19" t="n">
        <f aca="false">-K9*arpa_base*K7*f_price*s_price*12*comm</f>
        <v>-3605.76</v>
      </c>
      <c r="L53" s="19" t="n">
        <f aca="false">-L9*arpa_base*L7*f_price*s_price*12*comm</f>
        <v>-3605.76</v>
      </c>
      <c r="M53" s="19" t="n">
        <f aca="false">-M9*arpa_base*M7*f_price*s_price*12*comm</f>
        <v>-3605.76</v>
      </c>
      <c r="N53" s="19" t="n">
        <f aca="false">-N9*arpa_base*N7*f_price*s_price*12*comm</f>
        <v>-3605.76</v>
      </c>
      <c r="O53" s="19" t="n">
        <f aca="false">-O9*arpa_base*O7*f_price*s_price*12*comm</f>
        <v>-15144.192</v>
      </c>
      <c r="P53" s="19" t="n">
        <f aca="false">-P9*arpa_base*P7*f_price*s_price*12*comm</f>
        <v>-15144.192</v>
      </c>
      <c r="Q53" s="19" t="n">
        <f aca="false">-Q9*arpa_base*Q7*f_price*s_price*12*comm</f>
        <v>-15144.192</v>
      </c>
      <c r="R53" s="19" t="n">
        <f aca="false">-R9*arpa_base*R7*f_price*s_price*12*comm</f>
        <v>-15144.192</v>
      </c>
      <c r="S53" s="19" t="n">
        <f aca="false">-S9*arpa_base*S7*f_price*s_price*12*comm</f>
        <v>-15144.192</v>
      </c>
      <c r="T53" s="19" t="n">
        <f aca="false">-T9*arpa_base*T7*f_price*s_price*12*comm</f>
        <v>-15144.192</v>
      </c>
      <c r="U53" s="19" t="n">
        <f aca="false">-U9*arpa_base*U7*f_price*s_price*12*comm</f>
        <v>-15144.192</v>
      </c>
      <c r="V53" s="19" t="n">
        <f aca="false">-V9*arpa_base*V7*f_price*s_price*12*comm</f>
        <v>-15144.192</v>
      </c>
      <c r="W53" s="19" t="n">
        <f aca="false">-W9*arpa_base*W7*f_price*s_price*12*comm</f>
        <v>-15144.192</v>
      </c>
      <c r="X53" s="19" t="n">
        <f aca="false">-X9*arpa_base*X7*f_price*s_price*12*comm</f>
        <v>-15144.192</v>
      </c>
      <c r="Y53" s="19" t="n">
        <f aca="false">-Y9*arpa_base*Y7*f_price*s_price*12*comm</f>
        <v>-15144.192</v>
      </c>
      <c r="Z53" s="19" t="n">
        <f aca="false">-Z9*arpa_base*Z7*f_price*s_price*12*comm</f>
        <v>-15144.192</v>
      </c>
      <c r="AA53" s="19" t="n">
        <f aca="false">-AA9*arpa_base*AA7*f_price*s_price*12*comm</f>
        <v>-26502.336</v>
      </c>
      <c r="AB53" s="19" t="n">
        <f aca="false">-AB9*arpa_base*AB7*f_price*s_price*12*comm</f>
        <v>-26502.336</v>
      </c>
      <c r="AC53" s="19" t="n">
        <f aca="false">-AC9*arpa_base*AC7*f_price*s_price*12*comm</f>
        <v>-26502.336</v>
      </c>
      <c r="AD53" s="19" t="n">
        <f aca="false">-AD9*arpa_base*AD7*f_price*s_price*12*comm</f>
        <v>-26502.336</v>
      </c>
      <c r="AE53" s="19" t="n">
        <f aca="false">-AE9*arpa_base*AE7*f_price*s_price*12*comm</f>
        <v>-26502.336</v>
      </c>
      <c r="AF53" s="19" t="n">
        <f aca="false">-AF9*arpa_base*AF7*f_price*s_price*12*comm</f>
        <v>-26502.336</v>
      </c>
      <c r="AG53" s="19" t="n">
        <f aca="false">-AG9*arpa_base*AG7*f_price*s_price*12*comm</f>
        <v>-26502.336</v>
      </c>
      <c r="AH53" s="19" t="n">
        <f aca="false">-AH9*arpa_base*AH7*f_price*s_price*12*comm</f>
        <v>-26502.336</v>
      </c>
      <c r="AI53" s="19" t="n">
        <f aca="false">-AI9*arpa_base*AI7*f_price*s_price*12*comm</f>
        <v>-26502.336</v>
      </c>
      <c r="AJ53" s="19" t="n">
        <f aca="false">-AJ9*arpa_base*AJ7*f_price*s_price*12*comm</f>
        <v>-26502.336</v>
      </c>
      <c r="AK53" s="19" t="n">
        <f aca="false">-AK9*arpa_base*AK7*f_price*s_price*12*comm</f>
        <v>-26502.336</v>
      </c>
      <c r="AL53" s="19" t="n">
        <f aca="false">-AL9*arpa_base*AL7*f_price*s_price*12*comm</f>
        <v>-26502.336</v>
      </c>
      <c r="AM53" s="19" t="n">
        <f aca="false">-AM9*arpa_base*AM7*f_price*s_price*12*comm</f>
        <v>-36175.68864</v>
      </c>
      <c r="AN53" s="19" t="n">
        <f aca="false">-AN9*arpa_base*AN7*f_price*s_price*12*comm</f>
        <v>-36175.68864</v>
      </c>
      <c r="AO53" s="19" t="n">
        <f aca="false">-AO9*arpa_base*AO7*f_price*s_price*12*comm</f>
        <v>-36175.68864</v>
      </c>
      <c r="AP53" s="19" t="n">
        <f aca="false">-AP9*arpa_base*AP7*f_price*s_price*12*comm</f>
        <v>-36175.68864</v>
      </c>
      <c r="AQ53" s="19" t="n">
        <f aca="false">-AQ9*arpa_base*AQ7*f_price*s_price*12*comm</f>
        <v>-36175.68864</v>
      </c>
      <c r="AR53" s="19" t="n">
        <f aca="false">-AR9*arpa_base*AR7*f_price*s_price*12*comm</f>
        <v>-36175.68864</v>
      </c>
      <c r="AS53" s="19" t="n">
        <f aca="false">-AS9*arpa_base*AS7*f_price*s_price*12*comm</f>
        <v>-36175.68864</v>
      </c>
      <c r="AT53" s="19" t="n">
        <f aca="false">-AT9*arpa_base*AT7*f_price*s_price*12*comm</f>
        <v>-36175.68864</v>
      </c>
      <c r="AU53" s="19" t="n">
        <f aca="false">-AU9*arpa_base*AU7*f_price*s_price*12*comm</f>
        <v>-36175.68864</v>
      </c>
      <c r="AV53" s="19" t="n">
        <f aca="false">-AV9*arpa_base*AV7*f_price*s_price*12*comm</f>
        <v>-36175.68864</v>
      </c>
      <c r="AW53" s="19" t="n">
        <f aca="false">-AW9*arpa_base*AW7*f_price*s_price*12*comm</f>
        <v>-36175.68864</v>
      </c>
      <c r="AX53" s="19" t="n">
        <f aca="false">-AX9*arpa_base*AX7*f_price*s_price*12*comm</f>
        <v>-36175.68864</v>
      </c>
      <c r="AY53" s="19" t="n">
        <f aca="false">-AY9*arpa_base*AY7*f_price*s_price*12*comm</f>
        <v>-43828.23816</v>
      </c>
      <c r="AZ53" s="19" t="n">
        <f aca="false">-AZ9*arpa_base*AZ7*f_price*s_price*12*comm</f>
        <v>-43828.23816</v>
      </c>
      <c r="BA53" s="19" t="n">
        <f aca="false">-BA9*arpa_base*BA7*f_price*s_price*12*comm</f>
        <v>-43828.23816</v>
      </c>
      <c r="BB53" s="19" t="n">
        <f aca="false">-BB9*arpa_base*BB7*f_price*s_price*12*comm</f>
        <v>-43828.23816</v>
      </c>
      <c r="BC53" s="19" t="n">
        <f aca="false">-BC9*arpa_base*BC7*f_price*s_price*12*comm</f>
        <v>-43828.23816</v>
      </c>
      <c r="BD53" s="19" t="n">
        <f aca="false">-BD9*arpa_base*BD7*f_price*s_price*12*comm</f>
        <v>-43828.23816</v>
      </c>
      <c r="BE53" s="19" t="n">
        <f aca="false">-BE9*arpa_base*BE7*f_price*s_price*12*comm</f>
        <v>-43828.23816</v>
      </c>
      <c r="BF53" s="19" t="n">
        <f aca="false">-BF9*arpa_base*BF7*f_price*s_price*12*comm</f>
        <v>-43828.23816</v>
      </c>
      <c r="BG53" s="19" t="n">
        <f aca="false">-BG9*arpa_base*BG7*f_price*s_price*12*comm</f>
        <v>-43828.23816</v>
      </c>
      <c r="BH53" s="19" t="n">
        <f aca="false">-BH9*arpa_base*BH7*f_price*s_price*12*comm</f>
        <v>-43828.23816</v>
      </c>
      <c r="BI53" s="19" t="n">
        <f aca="false">-BI9*arpa_base*BI7*f_price*s_price*12*comm</f>
        <v>-43828.23816</v>
      </c>
      <c r="BJ53" s="19" t="n">
        <f aca="false">-BJ9*arpa_base*BJ7*f_price*s_price*12*comm</f>
        <v>-43828.23816</v>
      </c>
    </row>
    <row r="54" customFormat="false" ht="15" hidden="false" customHeight="false" outlineLevel="0" collapsed="false">
      <c r="A54" s="4" t="s">
        <v>540</v>
      </c>
      <c r="B54" s="4" t="s">
        <v>67</v>
      </c>
      <c r="C54" s="19" t="n">
        <f aca="false">-C9*cac_var*C7</f>
        <v>-0</v>
      </c>
      <c r="D54" s="19" t="n">
        <f aca="false">-D9*cac_var*D7</f>
        <v>-0</v>
      </c>
      <c r="E54" s="19" t="n">
        <f aca="false">-E9*cac_var*E7</f>
        <v>-0</v>
      </c>
      <c r="F54" s="19" t="n">
        <f aca="false">-F9*cac_var*F7</f>
        <v>-7500</v>
      </c>
      <c r="G54" s="19" t="n">
        <f aca="false">-G9*cac_var*G7</f>
        <v>-7500</v>
      </c>
      <c r="H54" s="19" t="n">
        <f aca="false">-H9*cac_var*H7</f>
        <v>-7500</v>
      </c>
      <c r="I54" s="19" t="n">
        <f aca="false">-I9*cac_var*I7</f>
        <v>-7500</v>
      </c>
      <c r="J54" s="19" t="n">
        <f aca="false">-J9*cac_var*J7</f>
        <v>-7500</v>
      </c>
      <c r="K54" s="19" t="n">
        <f aca="false">-K9*cac_var*K7</f>
        <v>-7500</v>
      </c>
      <c r="L54" s="19" t="n">
        <f aca="false">-L9*cac_var*L7</f>
        <v>-7500</v>
      </c>
      <c r="M54" s="19" t="n">
        <f aca="false">-M9*cac_var*M7</f>
        <v>-7500</v>
      </c>
      <c r="N54" s="19" t="n">
        <f aca="false">-N9*cac_var*N7</f>
        <v>-7500</v>
      </c>
      <c r="O54" s="19" t="n">
        <f aca="false">-O9*cac_var*O7</f>
        <v>-31500</v>
      </c>
      <c r="P54" s="19" t="n">
        <f aca="false">-P9*cac_var*P7</f>
        <v>-31500</v>
      </c>
      <c r="Q54" s="19" t="n">
        <f aca="false">-Q9*cac_var*Q7</f>
        <v>-31500</v>
      </c>
      <c r="R54" s="19" t="n">
        <f aca="false">-R9*cac_var*R7</f>
        <v>-31500</v>
      </c>
      <c r="S54" s="19" t="n">
        <f aca="false">-S9*cac_var*S7</f>
        <v>-31500</v>
      </c>
      <c r="T54" s="19" t="n">
        <f aca="false">-T9*cac_var*T7</f>
        <v>-31500</v>
      </c>
      <c r="U54" s="19" t="n">
        <f aca="false">-U9*cac_var*U7</f>
        <v>-31500</v>
      </c>
      <c r="V54" s="19" t="n">
        <f aca="false">-V9*cac_var*V7</f>
        <v>-31500</v>
      </c>
      <c r="W54" s="19" t="n">
        <f aca="false">-W9*cac_var*W7</f>
        <v>-31500</v>
      </c>
      <c r="X54" s="19" t="n">
        <f aca="false">-X9*cac_var*X7</f>
        <v>-31500</v>
      </c>
      <c r="Y54" s="19" t="n">
        <f aca="false">-Y9*cac_var*Y7</f>
        <v>-31500</v>
      </c>
      <c r="Z54" s="19" t="n">
        <f aca="false">-Z9*cac_var*Z7</f>
        <v>-31500</v>
      </c>
      <c r="AA54" s="19" t="n">
        <f aca="false">-AA9*cac_var*AA7</f>
        <v>-55125</v>
      </c>
      <c r="AB54" s="19" t="n">
        <f aca="false">-AB9*cac_var*AB7</f>
        <v>-55125</v>
      </c>
      <c r="AC54" s="19" t="n">
        <f aca="false">-AC9*cac_var*AC7</f>
        <v>-55125</v>
      </c>
      <c r="AD54" s="19" t="n">
        <f aca="false">-AD9*cac_var*AD7</f>
        <v>-55125</v>
      </c>
      <c r="AE54" s="19" t="n">
        <f aca="false">-AE9*cac_var*AE7</f>
        <v>-55125</v>
      </c>
      <c r="AF54" s="19" t="n">
        <f aca="false">-AF9*cac_var*AF7</f>
        <v>-55125</v>
      </c>
      <c r="AG54" s="19" t="n">
        <f aca="false">-AG9*cac_var*AG7</f>
        <v>-55125</v>
      </c>
      <c r="AH54" s="19" t="n">
        <f aca="false">-AH9*cac_var*AH7</f>
        <v>-55125</v>
      </c>
      <c r="AI54" s="19" t="n">
        <f aca="false">-AI9*cac_var*AI7</f>
        <v>-55125</v>
      </c>
      <c r="AJ54" s="19" t="n">
        <f aca="false">-AJ9*cac_var*AJ7</f>
        <v>-55125</v>
      </c>
      <c r="AK54" s="19" t="n">
        <f aca="false">-AK9*cac_var*AK7</f>
        <v>-55125</v>
      </c>
      <c r="AL54" s="19" t="n">
        <f aca="false">-AL9*cac_var*AL7</f>
        <v>-55125</v>
      </c>
      <c r="AM54" s="19" t="n">
        <f aca="false">-AM9*cac_var*AM7</f>
        <v>-75245.625</v>
      </c>
      <c r="AN54" s="19" t="n">
        <f aca="false">-AN9*cac_var*AN7</f>
        <v>-75245.625</v>
      </c>
      <c r="AO54" s="19" t="n">
        <f aca="false">-AO9*cac_var*AO7</f>
        <v>-75245.625</v>
      </c>
      <c r="AP54" s="19" t="n">
        <f aca="false">-AP9*cac_var*AP7</f>
        <v>-75245.625</v>
      </c>
      <c r="AQ54" s="19" t="n">
        <f aca="false">-AQ9*cac_var*AQ7</f>
        <v>-75245.625</v>
      </c>
      <c r="AR54" s="19" t="n">
        <f aca="false">-AR9*cac_var*AR7</f>
        <v>-75245.625</v>
      </c>
      <c r="AS54" s="19" t="n">
        <f aca="false">-AS9*cac_var*AS7</f>
        <v>-75245.625</v>
      </c>
      <c r="AT54" s="19" t="n">
        <f aca="false">-AT9*cac_var*AT7</f>
        <v>-75245.625</v>
      </c>
      <c r="AU54" s="19" t="n">
        <f aca="false">-AU9*cac_var*AU7</f>
        <v>-75245.625</v>
      </c>
      <c r="AV54" s="19" t="n">
        <f aca="false">-AV9*cac_var*AV7</f>
        <v>-75245.625</v>
      </c>
      <c r="AW54" s="19" t="n">
        <f aca="false">-AW9*cac_var*AW7</f>
        <v>-75245.625</v>
      </c>
      <c r="AX54" s="19" t="n">
        <f aca="false">-AX9*cac_var*AX7</f>
        <v>-75245.625</v>
      </c>
      <c r="AY54" s="19" t="n">
        <f aca="false">-AY9*cac_var*AY7</f>
        <v>-91162.96875</v>
      </c>
      <c r="AZ54" s="19" t="n">
        <f aca="false">-AZ9*cac_var*AZ7</f>
        <v>-91162.96875</v>
      </c>
      <c r="BA54" s="19" t="n">
        <f aca="false">-BA9*cac_var*BA7</f>
        <v>-91162.96875</v>
      </c>
      <c r="BB54" s="19" t="n">
        <f aca="false">-BB9*cac_var*BB7</f>
        <v>-91162.96875</v>
      </c>
      <c r="BC54" s="19" t="n">
        <f aca="false">-BC9*cac_var*BC7</f>
        <v>-91162.96875</v>
      </c>
      <c r="BD54" s="19" t="n">
        <f aca="false">-BD9*cac_var*BD7</f>
        <v>-91162.96875</v>
      </c>
      <c r="BE54" s="19" t="n">
        <f aca="false">-BE9*cac_var*BE7</f>
        <v>-91162.96875</v>
      </c>
      <c r="BF54" s="19" t="n">
        <f aca="false">-BF9*cac_var*BF7</f>
        <v>-91162.96875</v>
      </c>
      <c r="BG54" s="19" t="n">
        <f aca="false">-BG9*cac_var*BG7</f>
        <v>-91162.96875</v>
      </c>
      <c r="BH54" s="19" t="n">
        <f aca="false">-BH9*cac_var*BH7</f>
        <v>-91162.96875</v>
      </c>
      <c r="BI54" s="19" t="n">
        <f aca="false">-BI9*cac_var*BI7</f>
        <v>-91162.96875</v>
      </c>
      <c r="BJ54" s="19" t="n">
        <f aca="false">-BJ9*cac_var*BJ7</f>
        <v>-91162.96875</v>
      </c>
    </row>
    <row r="55" customFormat="false" ht="15" hidden="false" customHeight="false" outlineLevel="0" collapsed="false">
      <c r="A55" s="4" t="s">
        <v>541</v>
      </c>
      <c r="B55" s="4" t="s">
        <v>67</v>
      </c>
      <c r="C55" s="19" t="n">
        <f aca="false">-INDEX(mkt_fix_y,1,C6)*C7*IF(C5&gt;=launch_month-1,1,0)</f>
        <v>-0</v>
      </c>
      <c r="D55" s="19" t="n">
        <f aca="false">-INDEX(mkt_fix_y,1,D6)*D7*IF(D5&gt;=launch_month-1,1,0)</f>
        <v>-0</v>
      </c>
      <c r="E55" s="19" t="n">
        <f aca="false">-INDEX(mkt_fix_y,1,E6)*E7*IF(E5&gt;=launch_month-1,1,0)</f>
        <v>-5000</v>
      </c>
      <c r="F55" s="19" t="n">
        <f aca="false">-INDEX(mkt_fix_y,1,F6)*F7*IF(F5&gt;=launch_month-1,1,0)</f>
        <v>-5000</v>
      </c>
      <c r="G55" s="19" t="n">
        <f aca="false">-INDEX(mkt_fix_y,1,G6)*G7*IF(G5&gt;=launch_month-1,1,0)</f>
        <v>-5000</v>
      </c>
      <c r="H55" s="19" t="n">
        <f aca="false">-INDEX(mkt_fix_y,1,H6)*H7*IF(H5&gt;=launch_month-1,1,0)</f>
        <v>-5000</v>
      </c>
      <c r="I55" s="19" t="n">
        <f aca="false">-INDEX(mkt_fix_y,1,I6)*I7*IF(I5&gt;=launch_month-1,1,0)</f>
        <v>-5000</v>
      </c>
      <c r="J55" s="19" t="n">
        <f aca="false">-INDEX(mkt_fix_y,1,J6)*J7*IF(J5&gt;=launch_month-1,1,0)</f>
        <v>-5000</v>
      </c>
      <c r="K55" s="19" t="n">
        <f aca="false">-INDEX(mkt_fix_y,1,K6)*K7*IF(K5&gt;=launch_month-1,1,0)</f>
        <v>-5000</v>
      </c>
      <c r="L55" s="19" t="n">
        <f aca="false">-INDEX(mkt_fix_y,1,L6)*L7*IF(L5&gt;=launch_month-1,1,0)</f>
        <v>-5000</v>
      </c>
      <c r="M55" s="19" t="n">
        <f aca="false">-INDEX(mkt_fix_y,1,M6)*M7*IF(M5&gt;=launch_month-1,1,0)</f>
        <v>-5000</v>
      </c>
      <c r="N55" s="19" t="n">
        <f aca="false">-INDEX(mkt_fix_y,1,N6)*N7*IF(N5&gt;=launch_month-1,1,0)</f>
        <v>-5000</v>
      </c>
      <c r="O55" s="19" t="n">
        <f aca="false">-INDEX(mkt_fix_y,1,O6)*O7*IF(O5&gt;=launch_month-1,1,0)</f>
        <v>-12600</v>
      </c>
      <c r="P55" s="19" t="n">
        <f aca="false">-INDEX(mkt_fix_y,1,P6)*P7*IF(P5&gt;=launch_month-1,1,0)</f>
        <v>-12600</v>
      </c>
      <c r="Q55" s="19" t="n">
        <f aca="false">-INDEX(mkt_fix_y,1,Q6)*Q7*IF(Q5&gt;=launch_month-1,1,0)</f>
        <v>-12600</v>
      </c>
      <c r="R55" s="19" t="n">
        <f aca="false">-INDEX(mkt_fix_y,1,R6)*R7*IF(R5&gt;=launch_month-1,1,0)</f>
        <v>-12600</v>
      </c>
      <c r="S55" s="19" t="n">
        <f aca="false">-INDEX(mkt_fix_y,1,S6)*S7*IF(S5&gt;=launch_month-1,1,0)</f>
        <v>-12600</v>
      </c>
      <c r="T55" s="19" t="n">
        <f aca="false">-INDEX(mkt_fix_y,1,T6)*T7*IF(T5&gt;=launch_month-1,1,0)</f>
        <v>-12600</v>
      </c>
      <c r="U55" s="19" t="n">
        <f aca="false">-INDEX(mkt_fix_y,1,U6)*U7*IF(U5&gt;=launch_month-1,1,0)</f>
        <v>-12600</v>
      </c>
      <c r="V55" s="19" t="n">
        <f aca="false">-INDEX(mkt_fix_y,1,V6)*V7*IF(V5&gt;=launch_month-1,1,0)</f>
        <v>-12600</v>
      </c>
      <c r="W55" s="19" t="n">
        <f aca="false">-INDEX(mkt_fix_y,1,W6)*W7*IF(W5&gt;=launch_month-1,1,0)</f>
        <v>-12600</v>
      </c>
      <c r="X55" s="19" t="n">
        <f aca="false">-INDEX(mkt_fix_y,1,X6)*X7*IF(X5&gt;=launch_month-1,1,0)</f>
        <v>-12600</v>
      </c>
      <c r="Y55" s="19" t="n">
        <f aca="false">-INDEX(mkt_fix_y,1,Y6)*Y7*IF(Y5&gt;=launch_month-1,1,0)</f>
        <v>-12600</v>
      </c>
      <c r="Z55" s="19" t="n">
        <f aca="false">-INDEX(mkt_fix_y,1,Z6)*Z7*IF(Z5&gt;=launch_month-1,1,0)</f>
        <v>-12600</v>
      </c>
      <c r="AA55" s="19" t="n">
        <f aca="false">-INDEX(mkt_fix_y,1,AA6)*AA7*IF(AA5&gt;=launch_month-1,1,0)</f>
        <v>-22050</v>
      </c>
      <c r="AB55" s="19" t="n">
        <f aca="false">-INDEX(mkt_fix_y,1,AB6)*AB7*IF(AB5&gt;=launch_month-1,1,0)</f>
        <v>-22050</v>
      </c>
      <c r="AC55" s="19" t="n">
        <f aca="false">-INDEX(mkt_fix_y,1,AC6)*AC7*IF(AC5&gt;=launch_month-1,1,0)</f>
        <v>-22050</v>
      </c>
      <c r="AD55" s="19" t="n">
        <f aca="false">-INDEX(mkt_fix_y,1,AD6)*AD7*IF(AD5&gt;=launch_month-1,1,0)</f>
        <v>-22050</v>
      </c>
      <c r="AE55" s="19" t="n">
        <f aca="false">-INDEX(mkt_fix_y,1,AE6)*AE7*IF(AE5&gt;=launch_month-1,1,0)</f>
        <v>-22050</v>
      </c>
      <c r="AF55" s="19" t="n">
        <f aca="false">-INDEX(mkt_fix_y,1,AF6)*AF7*IF(AF5&gt;=launch_month-1,1,0)</f>
        <v>-22050</v>
      </c>
      <c r="AG55" s="19" t="n">
        <f aca="false">-INDEX(mkt_fix_y,1,AG6)*AG7*IF(AG5&gt;=launch_month-1,1,0)</f>
        <v>-22050</v>
      </c>
      <c r="AH55" s="19" t="n">
        <f aca="false">-INDEX(mkt_fix_y,1,AH6)*AH7*IF(AH5&gt;=launch_month-1,1,0)</f>
        <v>-22050</v>
      </c>
      <c r="AI55" s="19" t="n">
        <f aca="false">-INDEX(mkt_fix_y,1,AI6)*AI7*IF(AI5&gt;=launch_month-1,1,0)</f>
        <v>-22050</v>
      </c>
      <c r="AJ55" s="19" t="n">
        <f aca="false">-INDEX(mkt_fix_y,1,AJ6)*AJ7*IF(AJ5&gt;=launch_month-1,1,0)</f>
        <v>-22050</v>
      </c>
      <c r="AK55" s="19" t="n">
        <f aca="false">-INDEX(mkt_fix_y,1,AK6)*AK7*IF(AK5&gt;=launch_month-1,1,0)</f>
        <v>-22050</v>
      </c>
      <c r="AL55" s="19" t="n">
        <f aca="false">-INDEX(mkt_fix_y,1,AL6)*AL7*IF(AL5&gt;=launch_month-1,1,0)</f>
        <v>-22050</v>
      </c>
      <c r="AM55" s="19" t="n">
        <f aca="false">-INDEX(mkt_fix_y,1,AM6)*AM7*IF(AM5&gt;=launch_month-1,1,0)</f>
        <v>-32413.5</v>
      </c>
      <c r="AN55" s="19" t="n">
        <f aca="false">-INDEX(mkt_fix_y,1,AN6)*AN7*IF(AN5&gt;=launch_month-1,1,0)</f>
        <v>-32413.5</v>
      </c>
      <c r="AO55" s="19" t="n">
        <f aca="false">-INDEX(mkt_fix_y,1,AO6)*AO7*IF(AO5&gt;=launch_month-1,1,0)</f>
        <v>-32413.5</v>
      </c>
      <c r="AP55" s="19" t="n">
        <f aca="false">-INDEX(mkt_fix_y,1,AP6)*AP7*IF(AP5&gt;=launch_month-1,1,0)</f>
        <v>-32413.5</v>
      </c>
      <c r="AQ55" s="19" t="n">
        <f aca="false">-INDEX(mkt_fix_y,1,AQ6)*AQ7*IF(AQ5&gt;=launch_month-1,1,0)</f>
        <v>-32413.5</v>
      </c>
      <c r="AR55" s="19" t="n">
        <f aca="false">-INDEX(mkt_fix_y,1,AR6)*AR7*IF(AR5&gt;=launch_month-1,1,0)</f>
        <v>-32413.5</v>
      </c>
      <c r="AS55" s="19" t="n">
        <f aca="false">-INDEX(mkt_fix_y,1,AS6)*AS7*IF(AS5&gt;=launch_month-1,1,0)</f>
        <v>-32413.5</v>
      </c>
      <c r="AT55" s="19" t="n">
        <f aca="false">-INDEX(mkt_fix_y,1,AT6)*AT7*IF(AT5&gt;=launch_month-1,1,0)</f>
        <v>-32413.5</v>
      </c>
      <c r="AU55" s="19" t="n">
        <f aca="false">-INDEX(mkt_fix_y,1,AU6)*AU7*IF(AU5&gt;=launch_month-1,1,0)</f>
        <v>-32413.5</v>
      </c>
      <c r="AV55" s="19" t="n">
        <f aca="false">-INDEX(mkt_fix_y,1,AV6)*AV7*IF(AV5&gt;=launch_month-1,1,0)</f>
        <v>-32413.5</v>
      </c>
      <c r="AW55" s="19" t="n">
        <f aca="false">-INDEX(mkt_fix_y,1,AW6)*AW7*IF(AW5&gt;=launch_month-1,1,0)</f>
        <v>-32413.5</v>
      </c>
      <c r="AX55" s="19" t="n">
        <f aca="false">-INDEX(mkt_fix_y,1,AX6)*AX7*IF(AX5&gt;=launch_month-1,1,0)</f>
        <v>-32413.5</v>
      </c>
      <c r="AY55" s="19" t="n">
        <f aca="false">-INDEX(mkt_fix_y,1,AY6)*AY7*IF(AY5&gt;=launch_month-1,1,0)</f>
        <v>-43758.225</v>
      </c>
      <c r="AZ55" s="19" t="n">
        <f aca="false">-INDEX(mkt_fix_y,1,AZ6)*AZ7*IF(AZ5&gt;=launch_month-1,1,0)</f>
        <v>-43758.225</v>
      </c>
      <c r="BA55" s="19" t="n">
        <f aca="false">-INDEX(mkt_fix_y,1,BA6)*BA7*IF(BA5&gt;=launch_month-1,1,0)</f>
        <v>-43758.225</v>
      </c>
      <c r="BB55" s="19" t="n">
        <f aca="false">-INDEX(mkt_fix_y,1,BB6)*BB7*IF(BB5&gt;=launch_month-1,1,0)</f>
        <v>-43758.225</v>
      </c>
      <c r="BC55" s="19" t="n">
        <f aca="false">-INDEX(mkt_fix_y,1,BC6)*BC7*IF(BC5&gt;=launch_month-1,1,0)</f>
        <v>-43758.225</v>
      </c>
      <c r="BD55" s="19" t="n">
        <f aca="false">-INDEX(mkt_fix_y,1,BD6)*BD7*IF(BD5&gt;=launch_month-1,1,0)</f>
        <v>-43758.225</v>
      </c>
      <c r="BE55" s="19" t="n">
        <f aca="false">-INDEX(mkt_fix_y,1,BE6)*BE7*IF(BE5&gt;=launch_month-1,1,0)</f>
        <v>-43758.225</v>
      </c>
      <c r="BF55" s="19" t="n">
        <f aca="false">-INDEX(mkt_fix_y,1,BF6)*BF7*IF(BF5&gt;=launch_month-1,1,0)</f>
        <v>-43758.225</v>
      </c>
      <c r="BG55" s="19" t="n">
        <f aca="false">-INDEX(mkt_fix_y,1,BG6)*BG7*IF(BG5&gt;=launch_month-1,1,0)</f>
        <v>-43758.225</v>
      </c>
      <c r="BH55" s="19" t="n">
        <f aca="false">-INDEX(mkt_fix_y,1,BH6)*BH7*IF(BH5&gt;=launch_month-1,1,0)</f>
        <v>-43758.225</v>
      </c>
      <c r="BI55" s="19" t="n">
        <f aca="false">-INDEX(mkt_fix_y,1,BI6)*BI7*IF(BI5&gt;=launch_month-1,1,0)</f>
        <v>-43758.225</v>
      </c>
      <c r="BJ55" s="19" t="n">
        <f aca="false">-INDEX(mkt_fix_y,1,BJ6)*BJ7*IF(BJ5&gt;=launch_month-1,1,0)</f>
        <v>-43758.225</v>
      </c>
    </row>
    <row r="56" customFormat="false" ht="15" hidden="false" customHeight="false" outlineLevel="0" collapsed="false">
      <c r="A56" s="4" t="s">
        <v>161</v>
      </c>
      <c r="B56" s="4" t="s">
        <v>67</v>
      </c>
      <c r="C56" s="19" t="n">
        <f aca="false">-IF(MOD(C5-1,12)+1=event_month,INDEX(event_cost_y,1,C6),0)</f>
        <v>-0</v>
      </c>
      <c r="D56" s="19" t="n">
        <f aca="false">-IF(MOD(D5-1,12)+1=event_month,INDEX(event_cost_y,1,D6),0)</f>
        <v>-0</v>
      </c>
      <c r="E56" s="19" t="n">
        <f aca="false">-IF(MOD(E5-1,12)+1=event_month,INDEX(event_cost_y,1,E6),0)</f>
        <v>-0</v>
      </c>
      <c r="F56" s="19" t="n">
        <f aca="false">-IF(MOD(F5-1,12)+1=event_month,INDEX(event_cost_y,1,F6),0)</f>
        <v>-0</v>
      </c>
      <c r="G56" s="19" t="n">
        <f aca="false">-IF(MOD(G5-1,12)+1=event_month,INDEX(event_cost_y,1,G6),0)</f>
        <v>-0</v>
      </c>
      <c r="H56" s="19" t="n">
        <f aca="false">-IF(MOD(H5-1,12)+1=event_month,INDEX(event_cost_y,1,H6),0)</f>
        <v>-0</v>
      </c>
      <c r="I56" s="19" t="n">
        <f aca="false">-IF(MOD(I5-1,12)+1=event_month,INDEX(event_cost_y,1,I6),0)</f>
        <v>-0</v>
      </c>
      <c r="J56" s="19" t="n">
        <f aca="false">-IF(MOD(J5-1,12)+1=event_month,INDEX(event_cost_y,1,J6),0)</f>
        <v>-0</v>
      </c>
      <c r="K56" s="19" t="n">
        <f aca="false">-IF(MOD(K5-1,12)+1=event_month,INDEX(event_cost_y,1,K6),0)</f>
        <v>-0</v>
      </c>
      <c r="L56" s="19" t="n">
        <f aca="false">-IF(MOD(L5-1,12)+1=event_month,INDEX(event_cost_y,1,L6),0)</f>
        <v>-0</v>
      </c>
      <c r="M56" s="19" t="n">
        <f aca="false">-IF(MOD(M5-1,12)+1=event_month,INDEX(event_cost_y,1,M6),0)</f>
        <v>-0</v>
      </c>
      <c r="N56" s="19" t="n">
        <f aca="false">-IF(MOD(N5-1,12)+1=event_month,INDEX(event_cost_y,1,N6),0)</f>
        <v>-0</v>
      </c>
      <c r="O56" s="19" t="n">
        <f aca="false">-IF(MOD(O5-1,12)+1=event_month,INDEX(event_cost_y,1,O6),0)</f>
        <v>-0</v>
      </c>
      <c r="P56" s="19" t="n">
        <f aca="false">-IF(MOD(P5-1,12)+1=event_month,INDEX(event_cost_y,1,P6),0)</f>
        <v>-0</v>
      </c>
      <c r="Q56" s="19" t="n">
        <f aca="false">-IF(MOD(Q5-1,12)+1=event_month,INDEX(event_cost_y,1,Q6),0)</f>
        <v>-0</v>
      </c>
      <c r="R56" s="19" t="n">
        <f aca="false">-IF(MOD(R5-1,12)+1=event_month,INDEX(event_cost_y,1,R6),0)</f>
        <v>-0</v>
      </c>
      <c r="S56" s="19" t="n">
        <f aca="false">-IF(MOD(S5-1,12)+1=event_month,INDEX(event_cost_y,1,S6),0)</f>
        <v>-0</v>
      </c>
      <c r="T56" s="19" t="n">
        <f aca="false">-IF(MOD(T5-1,12)+1=event_month,INDEX(event_cost_y,1,T6),0)</f>
        <v>-0</v>
      </c>
      <c r="U56" s="19" t="n">
        <f aca="false">-IF(MOD(U5-1,12)+1=event_month,INDEX(event_cost_y,1,U6),0)</f>
        <v>-0</v>
      </c>
      <c r="V56" s="19" t="n">
        <f aca="false">-IF(MOD(V5-1,12)+1=event_month,INDEX(event_cost_y,1,V6),0)</f>
        <v>-0</v>
      </c>
      <c r="W56" s="19" t="n">
        <f aca="false">-IF(MOD(W5-1,12)+1=event_month,INDEX(event_cost_y,1,W6),0)</f>
        <v>-0</v>
      </c>
      <c r="X56" s="19" t="n">
        <f aca="false">-IF(MOD(X5-1,12)+1=event_month,INDEX(event_cost_y,1,X6),0)</f>
        <v>-55000</v>
      </c>
      <c r="Y56" s="19" t="n">
        <f aca="false">-IF(MOD(Y5-1,12)+1=event_month,INDEX(event_cost_y,1,Y6),0)</f>
        <v>-0</v>
      </c>
      <c r="Z56" s="19" t="n">
        <f aca="false">-IF(MOD(Z5-1,12)+1=event_month,INDEX(event_cost_y,1,Z6),0)</f>
        <v>-0</v>
      </c>
      <c r="AA56" s="19" t="n">
        <f aca="false">-IF(MOD(AA5-1,12)+1=event_month,INDEX(event_cost_y,1,AA6),0)</f>
        <v>-0</v>
      </c>
      <c r="AB56" s="19" t="n">
        <f aca="false">-IF(MOD(AB5-1,12)+1=event_month,INDEX(event_cost_y,1,AB6),0)</f>
        <v>-0</v>
      </c>
      <c r="AC56" s="19" t="n">
        <f aca="false">-IF(MOD(AC5-1,12)+1=event_month,INDEX(event_cost_y,1,AC6),0)</f>
        <v>-0</v>
      </c>
      <c r="AD56" s="19" t="n">
        <f aca="false">-IF(MOD(AD5-1,12)+1=event_month,INDEX(event_cost_y,1,AD6),0)</f>
        <v>-0</v>
      </c>
      <c r="AE56" s="19" t="n">
        <f aca="false">-IF(MOD(AE5-1,12)+1=event_month,INDEX(event_cost_y,1,AE6),0)</f>
        <v>-0</v>
      </c>
      <c r="AF56" s="19" t="n">
        <f aca="false">-IF(MOD(AF5-1,12)+1=event_month,INDEX(event_cost_y,1,AF6),0)</f>
        <v>-0</v>
      </c>
      <c r="AG56" s="19" t="n">
        <f aca="false">-IF(MOD(AG5-1,12)+1=event_month,INDEX(event_cost_y,1,AG6),0)</f>
        <v>-0</v>
      </c>
      <c r="AH56" s="19" t="n">
        <f aca="false">-IF(MOD(AH5-1,12)+1=event_month,INDEX(event_cost_y,1,AH6),0)</f>
        <v>-0</v>
      </c>
      <c r="AI56" s="19" t="n">
        <f aca="false">-IF(MOD(AI5-1,12)+1=event_month,INDEX(event_cost_y,1,AI6),0)</f>
        <v>-0</v>
      </c>
      <c r="AJ56" s="19" t="n">
        <f aca="false">-IF(MOD(AJ5-1,12)+1=event_month,INDEX(event_cost_y,1,AJ6),0)</f>
        <v>-90000</v>
      </c>
      <c r="AK56" s="19" t="n">
        <f aca="false">-IF(MOD(AK5-1,12)+1=event_month,INDEX(event_cost_y,1,AK6),0)</f>
        <v>-0</v>
      </c>
      <c r="AL56" s="19" t="n">
        <f aca="false">-IF(MOD(AL5-1,12)+1=event_month,INDEX(event_cost_y,1,AL6),0)</f>
        <v>-0</v>
      </c>
      <c r="AM56" s="19" t="n">
        <f aca="false">-IF(MOD(AM5-1,12)+1=event_month,INDEX(event_cost_y,1,AM6),0)</f>
        <v>-0</v>
      </c>
      <c r="AN56" s="19" t="n">
        <f aca="false">-IF(MOD(AN5-1,12)+1=event_month,INDEX(event_cost_y,1,AN6),0)</f>
        <v>-0</v>
      </c>
      <c r="AO56" s="19" t="n">
        <f aca="false">-IF(MOD(AO5-1,12)+1=event_month,INDEX(event_cost_y,1,AO6),0)</f>
        <v>-0</v>
      </c>
      <c r="AP56" s="19" t="n">
        <f aca="false">-IF(MOD(AP5-1,12)+1=event_month,INDEX(event_cost_y,1,AP6),0)</f>
        <v>-0</v>
      </c>
      <c r="AQ56" s="19" t="n">
        <f aca="false">-IF(MOD(AQ5-1,12)+1=event_month,INDEX(event_cost_y,1,AQ6),0)</f>
        <v>-0</v>
      </c>
      <c r="AR56" s="19" t="n">
        <f aca="false">-IF(MOD(AR5-1,12)+1=event_month,INDEX(event_cost_y,1,AR6),0)</f>
        <v>-0</v>
      </c>
      <c r="AS56" s="19" t="n">
        <f aca="false">-IF(MOD(AS5-1,12)+1=event_month,INDEX(event_cost_y,1,AS6),0)</f>
        <v>-0</v>
      </c>
      <c r="AT56" s="19" t="n">
        <f aca="false">-IF(MOD(AT5-1,12)+1=event_month,INDEX(event_cost_y,1,AT6),0)</f>
        <v>-0</v>
      </c>
      <c r="AU56" s="19" t="n">
        <f aca="false">-IF(MOD(AU5-1,12)+1=event_month,INDEX(event_cost_y,1,AU6),0)</f>
        <v>-0</v>
      </c>
      <c r="AV56" s="19" t="n">
        <f aca="false">-IF(MOD(AV5-1,12)+1=event_month,INDEX(event_cost_y,1,AV6),0)</f>
        <v>-140000</v>
      </c>
      <c r="AW56" s="19" t="n">
        <f aca="false">-IF(MOD(AW5-1,12)+1=event_month,INDEX(event_cost_y,1,AW6),0)</f>
        <v>-0</v>
      </c>
      <c r="AX56" s="19" t="n">
        <f aca="false">-IF(MOD(AX5-1,12)+1=event_month,INDEX(event_cost_y,1,AX6),0)</f>
        <v>-0</v>
      </c>
      <c r="AY56" s="19" t="n">
        <f aca="false">-IF(MOD(AY5-1,12)+1=event_month,INDEX(event_cost_y,1,AY6),0)</f>
        <v>-0</v>
      </c>
      <c r="AZ56" s="19" t="n">
        <f aca="false">-IF(MOD(AZ5-1,12)+1=event_month,INDEX(event_cost_y,1,AZ6),0)</f>
        <v>-0</v>
      </c>
      <c r="BA56" s="19" t="n">
        <f aca="false">-IF(MOD(BA5-1,12)+1=event_month,INDEX(event_cost_y,1,BA6),0)</f>
        <v>-0</v>
      </c>
      <c r="BB56" s="19" t="n">
        <f aca="false">-IF(MOD(BB5-1,12)+1=event_month,INDEX(event_cost_y,1,BB6),0)</f>
        <v>-0</v>
      </c>
      <c r="BC56" s="19" t="n">
        <f aca="false">-IF(MOD(BC5-1,12)+1=event_month,INDEX(event_cost_y,1,BC6),0)</f>
        <v>-0</v>
      </c>
      <c r="BD56" s="19" t="n">
        <f aca="false">-IF(MOD(BD5-1,12)+1=event_month,INDEX(event_cost_y,1,BD6),0)</f>
        <v>-0</v>
      </c>
      <c r="BE56" s="19" t="n">
        <f aca="false">-IF(MOD(BE5-1,12)+1=event_month,INDEX(event_cost_y,1,BE6),0)</f>
        <v>-0</v>
      </c>
      <c r="BF56" s="19" t="n">
        <f aca="false">-IF(MOD(BF5-1,12)+1=event_month,INDEX(event_cost_y,1,BF6),0)</f>
        <v>-0</v>
      </c>
      <c r="BG56" s="19" t="n">
        <f aca="false">-IF(MOD(BG5-1,12)+1=event_month,INDEX(event_cost_y,1,BG6),0)</f>
        <v>-0</v>
      </c>
      <c r="BH56" s="19" t="n">
        <f aca="false">-IF(MOD(BH5-1,12)+1=event_month,INDEX(event_cost_y,1,BH6),0)</f>
        <v>-190000</v>
      </c>
      <c r="BI56" s="19" t="n">
        <f aca="false">-IF(MOD(BI5-1,12)+1=event_month,INDEX(event_cost_y,1,BI6),0)</f>
        <v>-0</v>
      </c>
      <c r="BJ56" s="19" t="n">
        <f aca="false">-IF(MOD(BJ5-1,12)+1=event_month,INDEX(event_cost_y,1,BJ6),0)</f>
        <v>-0</v>
      </c>
    </row>
    <row r="57" customFormat="false" ht="15" hidden="false" customHeight="false" outlineLevel="0" collapsed="false">
      <c r="A57" s="4" t="s">
        <v>542</v>
      </c>
      <c r="B57" s="4" t="s">
        <v>67</v>
      </c>
      <c r="C57" s="19" t="n">
        <f aca="false">-INDEX(ga_y,1,C6)*C7</f>
        <v>-12000</v>
      </c>
      <c r="D57" s="19" t="n">
        <f aca="false">-INDEX(ga_y,1,D6)*D7</f>
        <v>-12000</v>
      </c>
      <c r="E57" s="19" t="n">
        <f aca="false">-INDEX(ga_y,1,E6)*E7</f>
        <v>-12000</v>
      </c>
      <c r="F57" s="19" t="n">
        <f aca="false">-INDEX(ga_y,1,F6)*F7</f>
        <v>-12000</v>
      </c>
      <c r="G57" s="19" t="n">
        <f aca="false">-INDEX(ga_y,1,G6)*G7</f>
        <v>-12000</v>
      </c>
      <c r="H57" s="19" t="n">
        <f aca="false">-INDEX(ga_y,1,H6)*H7</f>
        <v>-12000</v>
      </c>
      <c r="I57" s="19" t="n">
        <f aca="false">-INDEX(ga_y,1,I6)*I7</f>
        <v>-12000</v>
      </c>
      <c r="J57" s="19" t="n">
        <f aca="false">-INDEX(ga_y,1,J6)*J7</f>
        <v>-12000</v>
      </c>
      <c r="K57" s="19" t="n">
        <f aca="false">-INDEX(ga_y,1,K6)*K7</f>
        <v>-12000</v>
      </c>
      <c r="L57" s="19" t="n">
        <f aca="false">-INDEX(ga_y,1,L6)*L7</f>
        <v>-12000</v>
      </c>
      <c r="M57" s="19" t="n">
        <f aca="false">-INDEX(ga_y,1,M6)*M7</f>
        <v>-12000</v>
      </c>
      <c r="N57" s="19" t="n">
        <f aca="false">-INDEX(ga_y,1,N6)*N7</f>
        <v>-12000</v>
      </c>
      <c r="O57" s="19" t="n">
        <f aca="false">-INDEX(ga_y,1,O6)*O7</f>
        <v>-16800</v>
      </c>
      <c r="P57" s="19" t="n">
        <f aca="false">-INDEX(ga_y,1,P6)*P7</f>
        <v>-16800</v>
      </c>
      <c r="Q57" s="19" t="n">
        <f aca="false">-INDEX(ga_y,1,Q6)*Q7</f>
        <v>-16800</v>
      </c>
      <c r="R57" s="19" t="n">
        <f aca="false">-INDEX(ga_y,1,R6)*R7</f>
        <v>-16800</v>
      </c>
      <c r="S57" s="19" t="n">
        <f aca="false">-INDEX(ga_y,1,S6)*S7</f>
        <v>-16800</v>
      </c>
      <c r="T57" s="19" t="n">
        <f aca="false">-INDEX(ga_y,1,T6)*T7</f>
        <v>-16800</v>
      </c>
      <c r="U57" s="19" t="n">
        <f aca="false">-INDEX(ga_y,1,U6)*U7</f>
        <v>-16800</v>
      </c>
      <c r="V57" s="19" t="n">
        <f aca="false">-INDEX(ga_y,1,V6)*V7</f>
        <v>-16800</v>
      </c>
      <c r="W57" s="19" t="n">
        <f aca="false">-INDEX(ga_y,1,W6)*W7</f>
        <v>-16800</v>
      </c>
      <c r="X57" s="19" t="n">
        <f aca="false">-INDEX(ga_y,1,X6)*X7</f>
        <v>-16800</v>
      </c>
      <c r="Y57" s="19" t="n">
        <f aca="false">-INDEX(ga_y,1,Y6)*Y7</f>
        <v>-16800</v>
      </c>
      <c r="Z57" s="19" t="n">
        <f aca="false">-INDEX(ga_y,1,Z6)*Z7</f>
        <v>-16800</v>
      </c>
      <c r="AA57" s="19" t="n">
        <f aca="false">-INDEX(ga_y,1,AA6)*AA7</f>
        <v>-24255</v>
      </c>
      <c r="AB57" s="19" t="n">
        <f aca="false">-INDEX(ga_y,1,AB6)*AB7</f>
        <v>-24255</v>
      </c>
      <c r="AC57" s="19" t="n">
        <f aca="false">-INDEX(ga_y,1,AC6)*AC7</f>
        <v>-24255</v>
      </c>
      <c r="AD57" s="19" t="n">
        <f aca="false">-INDEX(ga_y,1,AD6)*AD7</f>
        <v>-24255</v>
      </c>
      <c r="AE57" s="19" t="n">
        <f aca="false">-INDEX(ga_y,1,AE6)*AE7</f>
        <v>-24255</v>
      </c>
      <c r="AF57" s="19" t="n">
        <f aca="false">-INDEX(ga_y,1,AF6)*AF7</f>
        <v>-24255</v>
      </c>
      <c r="AG57" s="19" t="n">
        <f aca="false">-INDEX(ga_y,1,AG6)*AG7</f>
        <v>-24255</v>
      </c>
      <c r="AH57" s="19" t="n">
        <f aca="false">-INDEX(ga_y,1,AH6)*AH7</f>
        <v>-24255</v>
      </c>
      <c r="AI57" s="19" t="n">
        <f aca="false">-INDEX(ga_y,1,AI6)*AI7</f>
        <v>-24255</v>
      </c>
      <c r="AJ57" s="19" t="n">
        <f aca="false">-INDEX(ga_y,1,AJ6)*AJ7</f>
        <v>-24255</v>
      </c>
      <c r="AK57" s="19" t="n">
        <f aca="false">-INDEX(ga_y,1,AK6)*AK7</f>
        <v>-24255</v>
      </c>
      <c r="AL57" s="19" t="n">
        <f aca="false">-INDEX(ga_y,1,AL6)*AL7</f>
        <v>-24255</v>
      </c>
      <c r="AM57" s="19" t="n">
        <f aca="false">-INDEX(ga_y,1,AM6)*AM7</f>
        <v>-32413.5</v>
      </c>
      <c r="AN57" s="19" t="n">
        <f aca="false">-INDEX(ga_y,1,AN6)*AN7</f>
        <v>-32413.5</v>
      </c>
      <c r="AO57" s="19" t="n">
        <f aca="false">-INDEX(ga_y,1,AO6)*AO7</f>
        <v>-32413.5</v>
      </c>
      <c r="AP57" s="19" t="n">
        <f aca="false">-INDEX(ga_y,1,AP6)*AP7</f>
        <v>-32413.5</v>
      </c>
      <c r="AQ57" s="19" t="n">
        <f aca="false">-INDEX(ga_y,1,AQ6)*AQ7</f>
        <v>-32413.5</v>
      </c>
      <c r="AR57" s="19" t="n">
        <f aca="false">-INDEX(ga_y,1,AR6)*AR7</f>
        <v>-32413.5</v>
      </c>
      <c r="AS57" s="19" t="n">
        <f aca="false">-INDEX(ga_y,1,AS6)*AS7</f>
        <v>-32413.5</v>
      </c>
      <c r="AT57" s="19" t="n">
        <f aca="false">-INDEX(ga_y,1,AT6)*AT7</f>
        <v>-32413.5</v>
      </c>
      <c r="AU57" s="19" t="n">
        <f aca="false">-INDEX(ga_y,1,AU6)*AU7</f>
        <v>-32413.5</v>
      </c>
      <c r="AV57" s="19" t="n">
        <f aca="false">-INDEX(ga_y,1,AV6)*AV7</f>
        <v>-32413.5</v>
      </c>
      <c r="AW57" s="19" t="n">
        <f aca="false">-INDEX(ga_y,1,AW6)*AW7</f>
        <v>-32413.5</v>
      </c>
      <c r="AX57" s="19" t="n">
        <f aca="false">-INDEX(ga_y,1,AX6)*AX7</f>
        <v>-32413.5</v>
      </c>
      <c r="AY57" s="19" t="n">
        <f aca="false">-INDEX(ga_y,1,AY6)*AY7</f>
        <v>-41327.2125</v>
      </c>
      <c r="AZ57" s="19" t="n">
        <f aca="false">-INDEX(ga_y,1,AZ6)*AZ7</f>
        <v>-41327.2125</v>
      </c>
      <c r="BA57" s="19" t="n">
        <f aca="false">-INDEX(ga_y,1,BA6)*BA7</f>
        <v>-41327.2125</v>
      </c>
      <c r="BB57" s="19" t="n">
        <f aca="false">-INDEX(ga_y,1,BB6)*BB7</f>
        <v>-41327.2125</v>
      </c>
      <c r="BC57" s="19" t="n">
        <f aca="false">-INDEX(ga_y,1,BC6)*BC7</f>
        <v>-41327.2125</v>
      </c>
      <c r="BD57" s="19" t="n">
        <f aca="false">-INDEX(ga_y,1,BD6)*BD7</f>
        <v>-41327.2125</v>
      </c>
      <c r="BE57" s="19" t="n">
        <f aca="false">-INDEX(ga_y,1,BE6)*BE7</f>
        <v>-41327.2125</v>
      </c>
      <c r="BF57" s="19" t="n">
        <f aca="false">-INDEX(ga_y,1,BF6)*BF7</f>
        <v>-41327.2125</v>
      </c>
      <c r="BG57" s="19" t="n">
        <f aca="false">-INDEX(ga_y,1,BG6)*BG7</f>
        <v>-41327.2125</v>
      </c>
      <c r="BH57" s="19" t="n">
        <f aca="false">-INDEX(ga_y,1,BH6)*BH7</f>
        <v>-41327.2125</v>
      </c>
      <c r="BI57" s="19" t="n">
        <f aca="false">-INDEX(ga_y,1,BI6)*BI7</f>
        <v>-41327.2125</v>
      </c>
      <c r="BJ57" s="19" t="n">
        <f aca="false">-INDEX(ga_y,1,BJ6)*BJ7</f>
        <v>-41327.2125</v>
      </c>
    </row>
    <row r="58" customFormat="false" ht="15" hidden="false" customHeight="false" outlineLevel="0" collapsed="false">
      <c r="A58" s="4" t="s">
        <v>543</v>
      </c>
      <c r="B58" s="4" t="s">
        <v>67</v>
      </c>
      <c r="C58" s="19" t="n">
        <f aca="false">-SUMIFS(oneoff_v,oneoff_m,C5)</f>
        <v>-0</v>
      </c>
      <c r="D58" s="19" t="n">
        <f aca="false">-SUMIFS(oneoff_v,oneoff_m,D5)</f>
        <v>-6000</v>
      </c>
      <c r="E58" s="19" t="n">
        <f aca="false">-SUMIFS(oneoff_v,oneoff_m,E5)</f>
        <v>-35000</v>
      </c>
      <c r="F58" s="19" t="n">
        <f aca="false">-SUMIFS(oneoff_v,oneoff_m,F5)</f>
        <v>-0</v>
      </c>
      <c r="G58" s="19" t="n">
        <f aca="false">-SUMIFS(oneoff_v,oneoff_m,G5)</f>
        <v>-40000</v>
      </c>
      <c r="H58" s="19" t="n">
        <f aca="false">-SUMIFS(oneoff_v,oneoff_m,H5)</f>
        <v>-30000</v>
      </c>
      <c r="I58" s="19" t="n">
        <f aca="false">-SUMIFS(oneoff_v,oneoff_m,I5)</f>
        <v>-25000</v>
      </c>
      <c r="J58" s="19" t="n">
        <f aca="false">-SUMIFS(oneoff_v,oneoff_m,J5)</f>
        <v>-0</v>
      </c>
      <c r="K58" s="19" t="n">
        <f aca="false">-SUMIFS(oneoff_v,oneoff_m,K5)</f>
        <v>-0</v>
      </c>
      <c r="L58" s="19" t="n">
        <f aca="false">-SUMIFS(oneoff_v,oneoff_m,L5)</f>
        <v>-0</v>
      </c>
      <c r="M58" s="19" t="n">
        <f aca="false">-SUMIFS(oneoff_v,oneoff_m,M5)</f>
        <v>-0</v>
      </c>
      <c r="N58" s="19" t="n">
        <f aca="false">-SUMIFS(oneoff_v,oneoff_m,N5)</f>
        <v>-0</v>
      </c>
      <c r="O58" s="19" t="n">
        <f aca="false">-SUMIFS(oneoff_v,oneoff_m,O5)</f>
        <v>-0</v>
      </c>
      <c r="P58" s="19" t="n">
        <f aca="false">-SUMIFS(oneoff_v,oneoff_m,P5)</f>
        <v>-0</v>
      </c>
      <c r="Q58" s="19" t="n">
        <f aca="false">-SUMIFS(oneoff_v,oneoff_m,Q5)</f>
        <v>-0</v>
      </c>
      <c r="R58" s="19" t="n">
        <f aca="false">-SUMIFS(oneoff_v,oneoff_m,R5)</f>
        <v>-0</v>
      </c>
      <c r="S58" s="19" t="n">
        <f aca="false">-SUMIFS(oneoff_v,oneoff_m,S5)</f>
        <v>-0</v>
      </c>
      <c r="T58" s="19" t="n">
        <f aca="false">-SUMIFS(oneoff_v,oneoff_m,T5)</f>
        <v>-20000</v>
      </c>
      <c r="U58" s="19" t="n">
        <f aca="false">-SUMIFS(oneoff_v,oneoff_m,U5)</f>
        <v>-0</v>
      </c>
      <c r="V58" s="19" t="n">
        <f aca="false">-SUMIFS(oneoff_v,oneoff_m,V5)</f>
        <v>-0</v>
      </c>
      <c r="W58" s="19" t="n">
        <f aca="false">-SUMIFS(oneoff_v,oneoff_m,W5)</f>
        <v>-0</v>
      </c>
      <c r="X58" s="19" t="n">
        <f aca="false">-SUMIFS(oneoff_v,oneoff_m,X5)</f>
        <v>-0</v>
      </c>
      <c r="Y58" s="19" t="n">
        <f aca="false">-SUMIFS(oneoff_v,oneoff_m,Y5)</f>
        <v>-0</v>
      </c>
      <c r="Z58" s="19" t="n">
        <f aca="false">-SUMIFS(oneoff_v,oneoff_m,Z5)</f>
        <v>-0</v>
      </c>
      <c r="AA58" s="19" t="n">
        <f aca="false">-SUMIFS(oneoff_v,oneoff_m,AA5)</f>
        <v>-0</v>
      </c>
      <c r="AB58" s="19" t="n">
        <f aca="false">-SUMIFS(oneoff_v,oneoff_m,AB5)</f>
        <v>-0</v>
      </c>
      <c r="AC58" s="19" t="n">
        <f aca="false">-SUMIFS(oneoff_v,oneoff_m,AC5)</f>
        <v>-0</v>
      </c>
      <c r="AD58" s="19" t="n">
        <f aca="false">-SUMIFS(oneoff_v,oneoff_m,AD5)</f>
        <v>-0</v>
      </c>
      <c r="AE58" s="19" t="n">
        <f aca="false">-SUMIFS(oneoff_v,oneoff_m,AE5)</f>
        <v>-0</v>
      </c>
      <c r="AF58" s="19" t="n">
        <f aca="false">-SUMIFS(oneoff_v,oneoff_m,AF5)</f>
        <v>-20000</v>
      </c>
      <c r="AG58" s="19" t="n">
        <f aca="false">-SUMIFS(oneoff_v,oneoff_m,AG5)</f>
        <v>-0</v>
      </c>
      <c r="AH58" s="19" t="n">
        <f aca="false">-SUMIFS(oneoff_v,oneoff_m,AH5)</f>
        <v>-0</v>
      </c>
      <c r="AI58" s="19" t="n">
        <f aca="false">-SUMIFS(oneoff_v,oneoff_m,AI5)</f>
        <v>-0</v>
      </c>
      <c r="AJ58" s="19" t="n">
        <f aca="false">-SUMIFS(oneoff_v,oneoff_m,AJ5)</f>
        <v>-0</v>
      </c>
      <c r="AK58" s="19" t="n">
        <f aca="false">-SUMIFS(oneoff_v,oneoff_m,AK5)</f>
        <v>-0</v>
      </c>
      <c r="AL58" s="19" t="n">
        <f aca="false">-SUMIFS(oneoff_v,oneoff_m,AL5)</f>
        <v>-0</v>
      </c>
      <c r="AM58" s="19" t="n">
        <f aca="false">-SUMIFS(oneoff_v,oneoff_m,AM5)</f>
        <v>-0</v>
      </c>
      <c r="AN58" s="19" t="n">
        <f aca="false">-SUMIFS(oneoff_v,oneoff_m,AN5)</f>
        <v>-0</v>
      </c>
      <c r="AO58" s="19" t="n">
        <f aca="false">-SUMIFS(oneoff_v,oneoff_m,AO5)</f>
        <v>-0</v>
      </c>
      <c r="AP58" s="19" t="n">
        <f aca="false">-SUMIFS(oneoff_v,oneoff_m,AP5)</f>
        <v>-0</v>
      </c>
      <c r="AQ58" s="19" t="n">
        <f aca="false">-SUMIFS(oneoff_v,oneoff_m,AQ5)</f>
        <v>-0</v>
      </c>
      <c r="AR58" s="19" t="n">
        <f aca="false">-SUMIFS(oneoff_v,oneoff_m,AR5)</f>
        <v>-20000</v>
      </c>
      <c r="AS58" s="19" t="n">
        <f aca="false">-SUMIFS(oneoff_v,oneoff_m,AS5)</f>
        <v>-0</v>
      </c>
      <c r="AT58" s="19" t="n">
        <f aca="false">-SUMIFS(oneoff_v,oneoff_m,AT5)</f>
        <v>-0</v>
      </c>
      <c r="AU58" s="19" t="n">
        <f aca="false">-SUMIFS(oneoff_v,oneoff_m,AU5)</f>
        <v>-0</v>
      </c>
      <c r="AV58" s="19" t="n">
        <f aca="false">-SUMIFS(oneoff_v,oneoff_m,AV5)</f>
        <v>-0</v>
      </c>
      <c r="AW58" s="19" t="n">
        <f aca="false">-SUMIFS(oneoff_v,oneoff_m,AW5)</f>
        <v>-0</v>
      </c>
      <c r="AX58" s="19" t="n">
        <f aca="false">-SUMIFS(oneoff_v,oneoff_m,AX5)</f>
        <v>-0</v>
      </c>
      <c r="AY58" s="19" t="n">
        <f aca="false">-SUMIFS(oneoff_v,oneoff_m,AY5)</f>
        <v>-0</v>
      </c>
      <c r="AZ58" s="19" t="n">
        <f aca="false">-SUMIFS(oneoff_v,oneoff_m,AZ5)</f>
        <v>-0</v>
      </c>
      <c r="BA58" s="19" t="n">
        <f aca="false">-SUMIFS(oneoff_v,oneoff_m,BA5)</f>
        <v>-0</v>
      </c>
      <c r="BB58" s="19" t="n">
        <f aca="false">-SUMIFS(oneoff_v,oneoff_m,BB5)</f>
        <v>-0</v>
      </c>
      <c r="BC58" s="19" t="n">
        <f aca="false">-SUMIFS(oneoff_v,oneoff_m,BC5)</f>
        <v>-0</v>
      </c>
      <c r="BD58" s="19" t="n">
        <f aca="false">-SUMIFS(oneoff_v,oneoff_m,BD5)</f>
        <v>-20000</v>
      </c>
      <c r="BE58" s="19" t="n">
        <f aca="false">-SUMIFS(oneoff_v,oneoff_m,BE5)</f>
        <v>-0</v>
      </c>
      <c r="BF58" s="19" t="n">
        <f aca="false">-SUMIFS(oneoff_v,oneoff_m,BF5)</f>
        <v>-0</v>
      </c>
      <c r="BG58" s="19" t="n">
        <f aca="false">-SUMIFS(oneoff_v,oneoff_m,BG5)</f>
        <v>-0</v>
      </c>
      <c r="BH58" s="19" t="n">
        <f aca="false">-SUMIFS(oneoff_v,oneoff_m,BH5)</f>
        <v>-0</v>
      </c>
      <c r="BI58" s="19" t="n">
        <f aca="false">-SUMIFS(oneoff_v,oneoff_m,BI5)</f>
        <v>-0</v>
      </c>
      <c r="BJ58" s="19" t="n">
        <f aca="false">-SUMIFS(oneoff_v,oneoff_m,BJ5)</f>
        <v>-0</v>
      </c>
    </row>
    <row r="59" customFormat="false" ht="15" hidden="false" customHeight="false" outlineLevel="0" collapsed="false">
      <c r="A59" s="5" t="s">
        <v>544</v>
      </c>
      <c r="B59" s="4" t="s">
        <v>67</v>
      </c>
      <c r="C59" s="25" t="n">
        <f aca="false">C52+SUM(C53:C58)</f>
        <v>-120000</v>
      </c>
      <c r="D59" s="25" t="n">
        <f aca="false">D52+SUM(D53:D58)</f>
        <v>-126000</v>
      </c>
      <c r="E59" s="25" t="n">
        <f aca="false">E52+SUM(E53:E58)</f>
        <v>-160000</v>
      </c>
      <c r="F59" s="25" t="n">
        <f aca="false">F52+SUM(F53:F58)</f>
        <v>-136105.76</v>
      </c>
      <c r="G59" s="25" t="n">
        <f aca="false">G52+SUM(G53:G58)</f>
        <v>-176105.76</v>
      </c>
      <c r="H59" s="25" t="n">
        <f aca="false">H52+SUM(H53:H58)</f>
        <v>-166105.76</v>
      </c>
      <c r="I59" s="25" t="n">
        <f aca="false">I52+SUM(I53:I58)</f>
        <v>-161105.76</v>
      </c>
      <c r="J59" s="25" t="n">
        <f aca="false">J52+SUM(J53:J58)</f>
        <v>-136105.76</v>
      </c>
      <c r="K59" s="25" t="n">
        <f aca="false">K52+SUM(K53:K58)</f>
        <v>-136105.76</v>
      </c>
      <c r="L59" s="25" t="n">
        <f aca="false">L52+SUM(L53:L58)</f>
        <v>-136105.76</v>
      </c>
      <c r="M59" s="25" t="n">
        <f aca="false">M52+SUM(M53:M58)</f>
        <v>-136105.76</v>
      </c>
      <c r="N59" s="25" t="n">
        <f aca="false">N52+SUM(N53:N58)</f>
        <v>-136105.76</v>
      </c>
      <c r="O59" s="25" t="n">
        <f aca="false">O52+SUM(O53:O58)</f>
        <v>-251394.192</v>
      </c>
      <c r="P59" s="25" t="n">
        <f aca="false">P52+SUM(P53:P58)</f>
        <v>-251394.192</v>
      </c>
      <c r="Q59" s="25" t="n">
        <f aca="false">Q52+SUM(Q53:Q58)</f>
        <v>-251394.192</v>
      </c>
      <c r="R59" s="25" t="n">
        <f aca="false">R52+SUM(R53:R58)</f>
        <v>-251394.192</v>
      </c>
      <c r="S59" s="25" t="n">
        <f aca="false">S52+SUM(S53:S58)</f>
        <v>-251394.192</v>
      </c>
      <c r="T59" s="25" t="n">
        <f aca="false">T52+SUM(T53:T58)</f>
        <v>-271394.192</v>
      </c>
      <c r="U59" s="25" t="n">
        <f aca="false">U52+SUM(U53:U58)</f>
        <v>-251394.192</v>
      </c>
      <c r="V59" s="25" t="n">
        <f aca="false">V52+SUM(V53:V58)</f>
        <v>-251394.192</v>
      </c>
      <c r="W59" s="25" t="n">
        <f aca="false">W52+SUM(W53:W58)</f>
        <v>-251394.192</v>
      </c>
      <c r="X59" s="25" t="n">
        <f aca="false">X52+SUM(X53:X58)</f>
        <v>-306394.192</v>
      </c>
      <c r="Y59" s="25" t="n">
        <f aca="false">Y52+SUM(Y53:Y58)</f>
        <v>-251394.192</v>
      </c>
      <c r="Z59" s="25" t="n">
        <f aca="false">Z52+SUM(Z53:Z58)</f>
        <v>-251394.192</v>
      </c>
      <c r="AA59" s="25" t="n">
        <f aca="false">AA52+SUM(AA53:AA58)</f>
        <v>-312049.836</v>
      </c>
      <c r="AB59" s="25" t="n">
        <f aca="false">AB52+SUM(AB53:AB58)</f>
        <v>-312049.836</v>
      </c>
      <c r="AC59" s="25" t="n">
        <f aca="false">AC52+SUM(AC53:AC58)</f>
        <v>-312049.836</v>
      </c>
      <c r="AD59" s="25" t="n">
        <f aca="false">AD52+SUM(AD53:AD58)</f>
        <v>-312049.836</v>
      </c>
      <c r="AE59" s="25" t="n">
        <f aca="false">AE52+SUM(AE53:AE58)</f>
        <v>-312049.836</v>
      </c>
      <c r="AF59" s="25" t="n">
        <f aca="false">AF52+SUM(AF53:AF58)</f>
        <v>-332049.836</v>
      </c>
      <c r="AG59" s="25" t="n">
        <f aca="false">AG52+SUM(AG53:AG58)</f>
        <v>-312049.836</v>
      </c>
      <c r="AH59" s="25" t="n">
        <f aca="false">AH52+SUM(AH53:AH58)</f>
        <v>-312049.836</v>
      </c>
      <c r="AI59" s="25" t="n">
        <f aca="false">AI52+SUM(AI53:AI58)</f>
        <v>-312049.836</v>
      </c>
      <c r="AJ59" s="25" t="n">
        <f aca="false">AJ52+SUM(AJ53:AJ58)</f>
        <v>-402049.836</v>
      </c>
      <c r="AK59" s="25" t="n">
        <f aca="false">AK52+SUM(AK53:AK58)</f>
        <v>-312049.836</v>
      </c>
      <c r="AL59" s="25" t="n">
        <f aca="false">AL52+SUM(AL53:AL58)</f>
        <v>-312049.836</v>
      </c>
      <c r="AM59" s="25" t="n">
        <f aca="false">AM52+SUM(AM53:AM58)</f>
        <v>-412403.81364</v>
      </c>
      <c r="AN59" s="25" t="n">
        <f aca="false">AN52+SUM(AN53:AN58)</f>
        <v>-412403.81364</v>
      </c>
      <c r="AO59" s="25" t="n">
        <f aca="false">AO52+SUM(AO53:AO58)</f>
        <v>-412403.81364</v>
      </c>
      <c r="AP59" s="25" t="n">
        <f aca="false">AP52+SUM(AP53:AP58)</f>
        <v>-412403.81364</v>
      </c>
      <c r="AQ59" s="25" t="n">
        <f aca="false">AQ52+SUM(AQ53:AQ58)</f>
        <v>-412403.81364</v>
      </c>
      <c r="AR59" s="25" t="n">
        <f aca="false">AR52+SUM(AR53:AR58)</f>
        <v>-432403.81364</v>
      </c>
      <c r="AS59" s="25" t="n">
        <f aca="false">AS52+SUM(AS53:AS58)</f>
        <v>-412403.81364</v>
      </c>
      <c r="AT59" s="25" t="n">
        <f aca="false">AT52+SUM(AT53:AT58)</f>
        <v>-412403.81364</v>
      </c>
      <c r="AU59" s="25" t="n">
        <f aca="false">AU52+SUM(AU53:AU58)</f>
        <v>-412403.81364</v>
      </c>
      <c r="AV59" s="25" t="n">
        <f aca="false">AV52+SUM(AV53:AV58)</f>
        <v>-552403.81364</v>
      </c>
      <c r="AW59" s="25" t="n">
        <f aca="false">AW52+SUM(AW53:AW58)</f>
        <v>-412403.81364</v>
      </c>
      <c r="AX59" s="25" t="n">
        <f aca="false">AX52+SUM(AX53:AX58)</f>
        <v>-412403.81364</v>
      </c>
      <c r="AY59" s="25" t="n">
        <f aca="false">AY52+SUM(AY53:AY58)</f>
        <v>-547047.82566</v>
      </c>
      <c r="AZ59" s="25" t="n">
        <f aca="false">AZ52+SUM(AZ53:AZ58)</f>
        <v>-547047.82566</v>
      </c>
      <c r="BA59" s="25" t="n">
        <f aca="false">BA52+SUM(BA53:BA58)</f>
        <v>-547047.82566</v>
      </c>
      <c r="BB59" s="25" t="n">
        <f aca="false">BB52+SUM(BB53:BB58)</f>
        <v>-547047.82566</v>
      </c>
      <c r="BC59" s="25" t="n">
        <f aca="false">BC52+SUM(BC53:BC58)</f>
        <v>-547047.82566</v>
      </c>
      <c r="BD59" s="25" t="n">
        <f aca="false">BD52+SUM(BD53:BD58)</f>
        <v>-567047.82566</v>
      </c>
      <c r="BE59" s="25" t="n">
        <f aca="false">BE52+SUM(BE53:BE58)</f>
        <v>-547047.82566</v>
      </c>
      <c r="BF59" s="25" t="n">
        <f aca="false">BF52+SUM(BF53:BF58)</f>
        <v>-547047.82566</v>
      </c>
      <c r="BG59" s="25" t="n">
        <f aca="false">BG52+SUM(BG53:BG58)</f>
        <v>-547047.82566</v>
      </c>
      <c r="BH59" s="25" t="n">
        <f aca="false">BH52+SUM(BH53:BH58)</f>
        <v>-737047.82566</v>
      </c>
      <c r="BI59" s="25" t="n">
        <f aca="false">BI52+SUM(BI53:BI58)</f>
        <v>-547047.82566</v>
      </c>
      <c r="BJ59" s="25" t="n">
        <f aca="false">BJ52+SUM(BJ53:BJ58)</f>
        <v>-547047.82566</v>
      </c>
    </row>
    <row r="60" customFormat="false" ht="15" hidden="false" customHeight="false" outlineLevel="0" collapsed="false">
      <c r="A60" s="5" t="s">
        <v>545</v>
      </c>
      <c r="B60" s="4" t="s">
        <v>67</v>
      </c>
      <c r="C60" s="25" t="n">
        <f aca="false">C41+C59</f>
        <v>-124000</v>
      </c>
      <c r="D60" s="25" t="n">
        <f aca="false">D41+D59</f>
        <v>-130000</v>
      </c>
      <c r="E60" s="25" t="n">
        <f aca="false">E41+E59</f>
        <v>-164000</v>
      </c>
      <c r="F60" s="25" t="n">
        <f aca="false">F41+F59</f>
        <v>-159543.06</v>
      </c>
      <c r="G60" s="25" t="n">
        <f aca="false">G41+G59</f>
        <v>-196382.49784</v>
      </c>
      <c r="H60" s="25" t="n">
        <f aca="false">H41+H59</f>
        <v>-183259.86242592</v>
      </c>
      <c r="I60" s="25" t="n">
        <f aca="false">I41+I59</f>
        <v>-175174.698636809</v>
      </c>
      <c r="J60" s="25" t="n">
        <f aca="false">J41+J59</f>
        <v>-147126.556813167</v>
      </c>
      <c r="K60" s="25" t="n">
        <f aca="false">K41+K59</f>
        <v>-144114.992691409</v>
      </c>
      <c r="L60" s="25" t="n">
        <f aca="false">L41+L59</f>
        <v>-141139.567339112</v>
      </c>
      <c r="M60" s="25" t="n">
        <f aca="false">M41+M59</f>
        <v>-138199.847091043</v>
      </c>
      <c r="N60" s="25" t="n">
        <f aca="false">N41+N59</f>
        <v>-135295.403485951</v>
      </c>
      <c r="O60" s="25" t="n">
        <f aca="false">O41+O59</f>
        <v>-224147.561947927</v>
      </c>
      <c r="P60" s="25" t="n">
        <f aca="false">P41+P59</f>
        <v>-210407.588372552</v>
      </c>
      <c r="Q60" s="25" t="n">
        <f aca="false">Q41+Q59</f>
        <v>-196825.539280081</v>
      </c>
      <c r="R60" s="25" t="n">
        <f aca="false">R41+R59</f>
        <v>-183399.519576721</v>
      </c>
      <c r="S60" s="25" t="n">
        <f aca="false">S41+S59</f>
        <v>-170127.6569098</v>
      </c>
      <c r="T60" s="25" t="n">
        <f aca="false">T41+T59</f>
        <v>-177008.101394882</v>
      </c>
      <c r="U60" s="25" t="n">
        <f aca="false">U41+U59</f>
        <v>-152701.525346144</v>
      </c>
      <c r="V60" s="25" t="n">
        <f aca="false">V41+V59</f>
        <v>-139881.12300999</v>
      </c>
      <c r="W60" s="25" t="n">
        <f aca="false">W41+W59</f>
        <v>-127207.61030187</v>
      </c>
      <c r="X60" s="25" t="n">
        <f aca="false">X41+X59</f>
        <v>-114479.224546248</v>
      </c>
      <c r="Y60" s="25" t="n">
        <f aca="false">Y41+Y59</f>
        <v>-102294.224219693</v>
      </c>
      <c r="Z60" s="25" t="n">
        <f aca="false">Z41+Z59</f>
        <v>-95038.3886970563</v>
      </c>
      <c r="AA60" s="25" t="n">
        <f aca="false">AA41+AA59</f>
        <v>-109754.679316984</v>
      </c>
      <c r="AB60" s="25" t="n">
        <f aca="false">AB41+AB59</f>
        <v>-101202.91228918</v>
      </c>
      <c r="AC60" s="25" t="n">
        <f aca="false">AC41+AC59</f>
        <v>-88492.0218457099</v>
      </c>
      <c r="AD60" s="25" t="n">
        <f aca="false">AD41+AD59</f>
        <v>-66933.3724675615</v>
      </c>
      <c r="AE60" s="25" t="n">
        <f aca="false">AE41+AE59</f>
        <v>-45619.6147619507</v>
      </c>
      <c r="AF60" s="25" t="n">
        <f aca="false">AF41+AF59</f>
        <v>-44547.8100288073</v>
      </c>
      <c r="AG60" s="25" t="n">
        <f aca="false">AG41+AG59</f>
        <v>-3715.05483246146</v>
      </c>
      <c r="AH60" s="25" t="n">
        <f aca="false">AH41+AH59</f>
        <v>16881.519421528</v>
      </c>
      <c r="AI60" s="25" t="n">
        <f aca="false">AI41+AI59</f>
        <v>22912.2469044697</v>
      </c>
      <c r="AJ60" s="25" t="n">
        <f aca="false">AJ41+AJ59</f>
        <v>57444.9277776161</v>
      </c>
      <c r="AK60" s="25" t="n">
        <f aca="false">AK41+AK59</f>
        <v>62949.8286002848</v>
      </c>
      <c r="AL60" s="25" t="n">
        <f aca="false">AL41+AL59</f>
        <v>69124.0577330812</v>
      </c>
      <c r="AM60" s="25" t="n">
        <f aca="false">AM41+AM59</f>
        <v>41966.8141310468</v>
      </c>
      <c r="AN60" s="25" t="n">
        <f aca="false">AN41+AN59</f>
        <v>60982.3026042544</v>
      </c>
      <c r="AO60" s="25" t="n">
        <f aca="false">AO41+AO59</f>
        <v>89226.9106327834</v>
      </c>
      <c r="AP60" s="25" t="n">
        <f aca="false">AP41+AP59</f>
        <v>117154.08740697</v>
      </c>
      <c r="AQ60" s="25" t="n">
        <f aca="false">AQ41+AQ59</f>
        <v>139268.923351866</v>
      </c>
      <c r="AR60" s="25" t="n">
        <f aca="false">AR41+AR59</f>
        <v>146572.619432424</v>
      </c>
      <c r="AS60" s="25" t="n">
        <f aca="false">AS41+AS59</f>
        <v>184019.768952015</v>
      </c>
      <c r="AT60" s="25" t="n">
        <f aca="false">AT41+AT59</f>
        <v>210714.85809437</v>
      </c>
      <c r="AU60" s="25" t="n">
        <f aca="false">AU41+AU59</f>
        <v>222930.203959018</v>
      </c>
      <c r="AV60" s="25" t="n">
        <f aca="false">AV41+AV59</f>
        <v>281031.20509029</v>
      </c>
      <c r="AW60" s="25" t="n">
        <f aca="false">AW41+AW59</f>
        <v>274840.498249986</v>
      </c>
      <c r="AX60" s="25" t="n">
        <f aca="false">AX41+AX59</f>
        <v>285312.458933767</v>
      </c>
      <c r="AY60" s="25" t="n">
        <f aca="false">AY41+AY59</f>
        <v>262306.086871625</v>
      </c>
      <c r="AZ60" s="25" t="n">
        <f aca="false">AZ41+AZ59</f>
        <v>294974.957255685</v>
      </c>
      <c r="BA60" s="25" t="n">
        <f aca="false">BA41+BA59</f>
        <v>327281.906853937</v>
      </c>
      <c r="BB60" s="25" t="n">
        <f aca="false">BB41+BB59</f>
        <v>359231.27871581</v>
      </c>
      <c r="BC60" s="25" t="n">
        <f aca="false">BC41+BC59</f>
        <v>365909.48564914</v>
      </c>
      <c r="BD60" s="25" t="n">
        <f aca="false">BD41+BD59</f>
        <v>377156.52334557</v>
      </c>
      <c r="BE60" s="25" t="n">
        <f aca="false">BE41+BE59</f>
        <v>422285.047560943</v>
      </c>
      <c r="BF60" s="25" t="n">
        <f aca="false">BF41+BF59</f>
        <v>452846.505975782</v>
      </c>
      <c r="BG60" s="25" t="n">
        <f aca="false">BG41+BG59</f>
        <v>483071.332548442</v>
      </c>
      <c r="BH60" s="25" t="n">
        <f aca="false">BH41+BH59</f>
        <v>553735.640298531</v>
      </c>
      <c r="BI60" s="25" t="n">
        <f aca="false">BI41+BI59</f>
        <v>532499.273458169</v>
      </c>
      <c r="BJ60" s="25" t="n">
        <f aca="false">BJ41+BJ59</f>
        <v>561738.248678691</v>
      </c>
    </row>
    <row r="61" customFormat="false" ht="15" hidden="false" customHeight="false" outlineLevel="0" collapsed="false">
      <c r="A61" s="4" t="s">
        <v>546</v>
      </c>
      <c r="B61" s="4" t="s">
        <v>169</v>
      </c>
      <c r="C61" s="19" t="n">
        <f aca="false">INDEX(hc_dir,1,C6)+INDEX(hc_tl,1,C6)+INDEX(hc_dev,1,C6)+INDEX(hc_data,1,C6)+INDEX(hc_prod,1,C6)+INDEX(hc_zoo,1,C6)+INDEX(hc_sales,1,C6)+INDEX(hc_mkt,1,C6)+INDEX(hc_adm,1,C6)</f>
        <v>7</v>
      </c>
      <c r="D61" s="19" t="n">
        <f aca="false">INDEX(hc_dir,1,D6)+INDEX(hc_tl,1,D6)+INDEX(hc_dev,1,D6)+INDEX(hc_data,1,D6)+INDEX(hc_prod,1,D6)+INDEX(hc_zoo,1,D6)+INDEX(hc_sales,1,D6)+INDEX(hc_mkt,1,D6)+INDEX(hc_adm,1,D6)</f>
        <v>7</v>
      </c>
      <c r="E61" s="19" t="n">
        <f aca="false">INDEX(hc_dir,1,E6)+INDEX(hc_tl,1,E6)+INDEX(hc_dev,1,E6)+INDEX(hc_data,1,E6)+INDEX(hc_prod,1,E6)+INDEX(hc_zoo,1,E6)+INDEX(hc_sales,1,E6)+INDEX(hc_mkt,1,E6)+INDEX(hc_adm,1,E6)</f>
        <v>7</v>
      </c>
      <c r="F61" s="19" t="n">
        <f aca="false">INDEX(hc_dir,1,F6)+INDEX(hc_tl,1,F6)+INDEX(hc_dev,1,F6)+INDEX(hc_data,1,F6)+INDEX(hc_prod,1,F6)+INDEX(hc_zoo,1,F6)+INDEX(hc_sales,1,F6)+INDEX(hc_mkt,1,F6)+INDEX(hc_adm,1,F6)</f>
        <v>7</v>
      </c>
      <c r="G61" s="19" t="n">
        <f aca="false">INDEX(hc_dir,1,G6)+INDEX(hc_tl,1,G6)+INDEX(hc_dev,1,G6)+INDEX(hc_data,1,G6)+INDEX(hc_prod,1,G6)+INDEX(hc_zoo,1,G6)+INDEX(hc_sales,1,G6)+INDEX(hc_mkt,1,G6)+INDEX(hc_adm,1,G6)</f>
        <v>7</v>
      </c>
      <c r="H61" s="19" t="n">
        <f aca="false">INDEX(hc_dir,1,H6)+INDEX(hc_tl,1,H6)+INDEX(hc_dev,1,H6)+INDEX(hc_data,1,H6)+INDEX(hc_prod,1,H6)+INDEX(hc_zoo,1,H6)+INDEX(hc_sales,1,H6)+INDEX(hc_mkt,1,H6)+INDEX(hc_adm,1,H6)</f>
        <v>7</v>
      </c>
      <c r="I61" s="19" t="n">
        <f aca="false">INDEX(hc_dir,1,I6)+INDEX(hc_tl,1,I6)+INDEX(hc_dev,1,I6)+INDEX(hc_data,1,I6)+INDEX(hc_prod,1,I6)+INDEX(hc_zoo,1,I6)+INDEX(hc_sales,1,I6)+INDEX(hc_mkt,1,I6)+INDEX(hc_adm,1,I6)</f>
        <v>7</v>
      </c>
      <c r="J61" s="19" t="n">
        <f aca="false">INDEX(hc_dir,1,J6)+INDEX(hc_tl,1,J6)+INDEX(hc_dev,1,J6)+INDEX(hc_data,1,J6)+INDEX(hc_prod,1,J6)+INDEX(hc_zoo,1,J6)+INDEX(hc_sales,1,J6)+INDEX(hc_mkt,1,J6)+INDEX(hc_adm,1,J6)</f>
        <v>7</v>
      </c>
      <c r="K61" s="19" t="n">
        <f aca="false">INDEX(hc_dir,1,K6)+INDEX(hc_tl,1,K6)+INDEX(hc_dev,1,K6)+INDEX(hc_data,1,K6)+INDEX(hc_prod,1,K6)+INDEX(hc_zoo,1,K6)+INDEX(hc_sales,1,K6)+INDEX(hc_mkt,1,K6)+INDEX(hc_adm,1,K6)</f>
        <v>7</v>
      </c>
      <c r="L61" s="19" t="n">
        <f aca="false">INDEX(hc_dir,1,L6)+INDEX(hc_tl,1,L6)+INDEX(hc_dev,1,L6)+INDEX(hc_data,1,L6)+INDEX(hc_prod,1,L6)+INDEX(hc_zoo,1,L6)+INDEX(hc_sales,1,L6)+INDEX(hc_mkt,1,L6)+INDEX(hc_adm,1,L6)</f>
        <v>7</v>
      </c>
      <c r="M61" s="19" t="n">
        <f aca="false">INDEX(hc_dir,1,M6)+INDEX(hc_tl,1,M6)+INDEX(hc_dev,1,M6)+INDEX(hc_data,1,M6)+INDEX(hc_prod,1,M6)+INDEX(hc_zoo,1,M6)+INDEX(hc_sales,1,M6)+INDEX(hc_mkt,1,M6)+INDEX(hc_adm,1,M6)</f>
        <v>7</v>
      </c>
      <c r="N61" s="19" t="n">
        <f aca="false">INDEX(hc_dir,1,N6)+INDEX(hc_tl,1,N6)+INDEX(hc_dev,1,N6)+INDEX(hc_data,1,N6)+INDEX(hc_prod,1,N6)+INDEX(hc_zoo,1,N6)+INDEX(hc_sales,1,N6)+INDEX(hc_mkt,1,N6)+INDEX(hc_adm,1,N6)</f>
        <v>7</v>
      </c>
      <c r="O61" s="19" t="n">
        <f aca="false">INDEX(hc_dir,1,O6)+INDEX(hc_tl,1,O6)+INDEX(hc_dev,1,O6)+INDEX(hc_data,1,O6)+INDEX(hc_prod,1,O6)+INDEX(hc_zoo,1,O6)+INDEX(hc_sales,1,O6)+INDEX(hc_mkt,1,O6)+INDEX(hc_adm,1,O6)</f>
        <v>12</v>
      </c>
      <c r="P61" s="19" t="n">
        <f aca="false">INDEX(hc_dir,1,P6)+INDEX(hc_tl,1,P6)+INDEX(hc_dev,1,P6)+INDEX(hc_data,1,P6)+INDEX(hc_prod,1,P6)+INDEX(hc_zoo,1,P6)+INDEX(hc_sales,1,P6)+INDEX(hc_mkt,1,P6)+INDEX(hc_adm,1,P6)</f>
        <v>12</v>
      </c>
      <c r="Q61" s="19" t="n">
        <f aca="false">INDEX(hc_dir,1,Q6)+INDEX(hc_tl,1,Q6)+INDEX(hc_dev,1,Q6)+INDEX(hc_data,1,Q6)+INDEX(hc_prod,1,Q6)+INDEX(hc_zoo,1,Q6)+INDEX(hc_sales,1,Q6)+INDEX(hc_mkt,1,Q6)+INDEX(hc_adm,1,Q6)</f>
        <v>12</v>
      </c>
      <c r="R61" s="19" t="n">
        <f aca="false">INDEX(hc_dir,1,R6)+INDEX(hc_tl,1,R6)+INDEX(hc_dev,1,R6)+INDEX(hc_data,1,R6)+INDEX(hc_prod,1,R6)+INDEX(hc_zoo,1,R6)+INDEX(hc_sales,1,R6)+INDEX(hc_mkt,1,R6)+INDEX(hc_adm,1,R6)</f>
        <v>12</v>
      </c>
      <c r="S61" s="19" t="n">
        <f aca="false">INDEX(hc_dir,1,S6)+INDEX(hc_tl,1,S6)+INDEX(hc_dev,1,S6)+INDEX(hc_data,1,S6)+INDEX(hc_prod,1,S6)+INDEX(hc_zoo,1,S6)+INDEX(hc_sales,1,S6)+INDEX(hc_mkt,1,S6)+INDEX(hc_adm,1,S6)</f>
        <v>12</v>
      </c>
      <c r="T61" s="19" t="n">
        <f aca="false">INDEX(hc_dir,1,T6)+INDEX(hc_tl,1,T6)+INDEX(hc_dev,1,T6)+INDEX(hc_data,1,T6)+INDEX(hc_prod,1,T6)+INDEX(hc_zoo,1,T6)+INDEX(hc_sales,1,T6)+INDEX(hc_mkt,1,T6)+INDEX(hc_adm,1,T6)</f>
        <v>12</v>
      </c>
      <c r="U61" s="19" t="n">
        <f aca="false">INDEX(hc_dir,1,U6)+INDEX(hc_tl,1,U6)+INDEX(hc_dev,1,U6)+INDEX(hc_data,1,U6)+INDEX(hc_prod,1,U6)+INDEX(hc_zoo,1,U6)+INDEX(hc_sales,1,U6)+INDEX(hc_mkt,1,U6)+INDEX(hc_adm,1,U6)</f>
        <v>12</v>
      </c>
      <c r="V61" s="19" t="n">
        <f aca="false">INDEX(hc_dir,1,V6)+INDEX(hc_tl,1,V6)+INDEX(hc_dev,1,V6)+INDEX(hc_data,1,V6)+INDEX(hc_prod,1,V6)+INDEX(hc_zoo,1,V6)+INDEX(hc_sales,1,V6)+INDEX(hc_mkt,1,V6)+INDEX(hc_adm,1,V6)</f>
        <v>12</v>
      </c>
      <c r="W61" s="19" t="n">
        <f aca="false">INDEX(hc_dir,1,W6)+INDEX(hc_tl,1,W6)+INDEX(hc_dev,1,W6)+INDEX(hc_data,1,W6)+INDEX(hc_prod,1,W6)+INDEX(hc_zoo,1,W6)+INDEX(hc_sales,1,W6)+INDEX(hc_mkt,1,W6)+INDEX(hc_adm,1,W6)</f>
        <v>12</v>
      </c>
      <c r="X61" s="19" t="n">
        <f aca="false">INDEX(hc_dir,1,X6)+INDEX(hc_tl,1,X6)+INDEX(hc_dev,1,X6)+INDEX(hc_data,1,X6)+INDEX(hc_prod,1,X6)+INDEX(hc_zoo,1,X6)+INDEX(hc_sales,1,X6)+INDEX(hc_mkt,1,X6)+INDEX(hc_adm,1,X6)</f>
        <v>12</v>
      </c>
      <c r="Y61" s="19" t="n">
        <f aca="false">INDEX(hc_dir,1,Y6)+INDEX(hc_tl,1,Y6)+INDEX(hc_dev,1,Y6)+INDEX(hc_data,1,Y6)+INDEX(hc_prod,1,Y6)+INDEX(hc_zoo,1,Y6)+INDEX(hc_sales,1,Y6)+INDEX(hc_mkt,1,Y6)+INDEX(hc_adm,1,Y6)</f>
        <v>12</v>
      </c>
      <c r="Z61" s="19" t="n">
        <f aca="false">INDEX(hc_dir,1,Z6)+INDEX(hc_tl,1,Z6)+INDEX(hc_dev,1,Z6)+INDEX(hc_data,1,Z6)+INDEX(hc_prod,1,Z6)+INDEX(hc_zoo,1,Z6)+INDEX(hc_sales,1,Z6)+INDEX(hc_mkt,1,Z6)+INDEX(hc_adm,1,Z6)</f>
        <v>12</v>
      </c>
      <c r="AA61" s="19" t="n">
        <f aca="false">INDEX(hc_dir,1,AA6)+INDEX(hc_tl,1,AA6)+INDEX(hc_dev,1,AA6)+INDEX(hc_data,1,AA6)+INDEX(hc_prod,1,AA6)+INDEX(hc_zoo,1,AA6)+INDEX(hc_sales,1,AA6)+INDEX(hc_mkt,1,AA6)+INDEX(hc_adm,1,AA6)</f>
        <v>12</v>
      </c>
      <c r="AB61" s="19" t="n">
        <f aca="false">INDEX(hc_dir,1,AB6)+INDEX(hc_tl,1,AB6)+INDEX(hc_dev,1,AB6)+INDEX(hc_data,1,AB6)+INDEX(hc_prod,1,AB6)+INDEX(hc_zoo,1,AB6)+INDEX(hc_sales,1,AB6)+INDEX(hc_mkt,1,AB6)+INDEX(hc_adm,1,AB6)</f>
        <v>12</v>
      </c>
      <c r="AC61" s="19" t="n">
        <f aca="false">INDEX(hc_dir,1,AC6)+INDEX(hc_tl,1,AC6)+INDEX(hc_dev,1,AC6)+INDEX(hc_data,1,AC6)+INDEX(hc_prod,1,AC6)+INDEX(hc_zoo,1,AC6)+INDEX(hc_sales,1,AC6)+INDEX(hc_mkt,1,AC6)+INDEX(hc_adm,1,AC6)</f>
        <v>12</v>
      </c>
      <c r="AD61" s="19" t="n">
        <f aca="false">INDEX(hc_dir,1,AD6)+INDEX(hc_tl,1,AD6)+INDEX(hc_dev,1,AD6)+INDEX(hc_data,1,AD6)+INDEX(hc_prod,1,AD6)+INDEX(hc_zoo,1,AD6)+INDEX(hc_sales,1,AD6)+INDEX(hc_mkt,1,AD6)+INDEX(hc_adm,1,AD6)</f>
        <v>12</v>
      </c>
      <c r="AE61" s="19" t="n">
        <f aca="false">INDEX(hc_dir,1,AE6)+INDEX(hc_tl,1,AE6)+INDEX(hc_dev,1,AE6)+INDEX(hc_data,1,AE6)+INDEX(hc_prod,1,AE6)+INDEX(hc_zoo,1,AE6)+INDEX(hc_sales,1,AE6)+INDEX(hc_mkt,1,AE6)+INDEX(hc_adm,1,AE6)</f>
        <v>12</v>
      </c>
      <c r="AF61" s="19" t="n">
        <f aca="false">INDEX(hc_dir,1,AF6)+INDEX(hc_tl,1,AF6)+INDEX(hc_dev,1,AF6)+INDEX(hc_data,1,AF6)+INDEX(hc_prod,1,AF6)+INDEX(hc_zoo,1,AF6)+INDEX(hc_sales,1,AF6)+INDEX(hc_mkt,1,AF6)+INDEX(hc_adm,1,AF6)</f>
        <v>12</v>
      </c>
      <c r="AG61" s="19" t="n">
        <f aca="false">INDEX(hc_dir,1,AG6)+INDEX(hc_tl,1,AG6)+INDEX(hc_dev,1,AG6)+INDEX(hc_data,1,AG6)+INDEX(hc_prod,1,AG6)+INDEX(hc_zoo,1,AG6)+INDEX(hc_sales,1,AG6)+INDEX(hc_mkt,1,AG6)+INDEX(hc_adm,1,AG6)</f>
        <v>12</v>
      </c>
      <c r="AH61" s="19" t="n">
        <f aca="false">INDEX(hc_dir,1,AH6)+INDEX(hc_tl,1,AH6)+INDEX(hc_dev,1,AH6)+INDEX(hc_data,1,AH6)+INDEX(hc_prod,1,AH6)+INDEX(hc_zoo,1,AH6)+INDEX(hc_sales,1,AH6)+INDEX(hc_mkt,1,AH6)+INDEX(hc_adm,1,AH6)</f>
        <v>12</v>
      </c>
      <c r="AI61" s="19" t="n">
        <f aca="false">INDEX(hc_dir,1,AI6)+INDEX(hc_tl,1,AI6)+INDEX(hc_dev,1,AI6)+INDEX(hc_data,1,AI6)+INDEX(hc_prod,1,AI6)+INDEX(hc_zoo,1,AI6)+INDEX(hc_sales,1,AI6)+INDEX(hc_mkt,1,AI6)+INDEX(hc_adm,1,AI6)</f>
        <v>12</v>
      </c>
      <c r="AJ61" s="19" t="n">
        <f aca="false">INDEX(hc_dir,1,AJ6)+INDEX(hc_tl,1,AJ6)+INDEX(hc_dev,1,AJ6)+INDEX(hc_data,1,AJ6)+INDEX(hc_prod,1,AJ6)+INDEX(hc_zoo,1,AJ6)+INDEX(hc_sales,1,AJ6)+INDEX(hc_mkt,1,AJ6)+INDEX(hc_adm,1,AJ6)</f>
        <v>12</v>
      </c>
      <c r="AK61" s="19" t="n">
        <f aca="false">INDEX(hc_dir,1,AK6)+INDEX(hc_tl,1,AK6)+INDEX(hc_dev,1,AK6)+INDEX(hc_data,1,AK6)+INDEX(hc_prod,1,AK6)+INDEX(hc_zoo,1,AK6)+INDEX(hc_sales,1,AK6)+INDEX(hc_mkt,1,AK6)+INDEX(hc_adm,1,AK6)</f>
        <v>12</v>
      </c>
      <c r="AL61" s="19" t="n">
        <f aca="false">INDEX(hc_dir,1,AL6)+INDEX(hc_tl,1,AL6)+INDEX(hc_dev,1,AL6)+INDEX(hc_data,1,AL6)+INDEX(hc_prod,1,AL6)+INDEX(hc_zoo,1,AL6)+INDEX(hc_sales,1,AL6)+INDEX(hc_mkt,1,AL6)+INDEX(hc_adm,1,AL6)</f>
        <v>12</v>
      </c>
      <c r="AM61" s="19" t="n">
        <f aca="false">INDEX(hc_dir,1,AM6)+INDEX(hc_tl,1,AM6)+INDEX(hc_dev,1,AM6)+INDEX(hc_data,1,AM6)+INDEX(hc_prod,1,AM6)+INDEX(hc_zoo,1,AM6)+INDEX(hc_sales,1,AM6)+INDEX(hc_mkt,1,AM6)+INDEX(hc_adm,1,AM6)</f>
        <v>15</v>
      </c>
      <c r="AN61" s="19" t="n">
        <f aca="false">INDEX(hc_dir,1,AN6)+INDEX(hc_tl,1,AN6)+INDEX(hc_dev,1,AN6)+INDEX(hc_data,1,AN6)+INDEX(hc_prod,1,AN6)+INDEX(hc_zoo,1,AN6)+INDEX(hc_sales,1,AN6)+INDEX(hc_mkt,1,AN6)+INDEX(hc_adm,1,AN6)</f>
        <v>15</v>
      </c>
      <c r="AO61" s="19" t="n">
        <f aca="false">INDEX(hc_dir,1,AO6)+INDEX(hc_tl,1,AO6)+INDEX(hc_dev,1,AO6)+INDEX(hc_data,1,AO6)+INDEX(hc_prod,1,AO6)+INDEX(hc_zoo,1,AO6)+INDEX(hc_sales,1,AO6)+INDEX(hc_mkt,1,AO6)+INDEX(hc_adm,1,AO6)</f>
        <v>15</v>
      </c>
      <c r="AP61" s="19" t="n">
        <f aca="false">INDEX(hc_dir,1,AP6)+INDEX(hc_tl,1,AP6)+INDEX(hc_dev,1,AP6)+INDEX(hc_data,1,AP6)+INDEX(hc_prod,1,AP6)+INDEX(hc_zoo,1,AP6)+INDEX(hc_sales,1,AP6)+INDEX(hc_mkt,1,AP6)+INDEX(hc_adm,1,AP6)</f>
        <v>15</v>
      </c>
      <c r="AQ61" s="19" t="n">
        <f aca="false">INDEX(hc_dir,1,AQ6)+INDEX(hc_tl,1,AQ6)+INDEX(hc_dev,1,AQ6)+INDEX(hc_data,1,AQ6)+INDEX(hc_prod,1,AQ6)+INDEX(hc_zoo,1,AQ6)+INDEX(hc_sales,1,AQ6)+INDEX(hc_mkt,1,AQ6)+INDEX(hc_adm,1,AQ6)</f>
        <v>15</v>
      </c>
      <c r="AR61" s="19" t="n">
        <f aca="false">INDEX(hc_dir,1,AR6)+INDEX(hc_tl,1,AR6)+INDEX(hc_dev,1,AR6)+INDEX(hc_data,1,AR6)+INDEX(hc_prod,1,AR6)+INDEX(hc_zoo,1,AR6)+INDEX(hc_sales,1,AR6)+INDEX(hc_mkt,1,AR6)+INDEX(hc_adm,1,AR6)</f>
        <v>15</v>
      </c>
      <c r="AS61" s="19" t="n">
        <f aca="false">INDEX(hc_dir,1,AS6)+INDEX(hc_tl,1,AS6)+INDEX(hc_dev,1,AS6)+INDEX(hc_data,1,AS6)+INDEX(hc_prod,1,AS6)+INDEX(hc_zoo,1,AS6)+INDEX(hc_sales,1,AS6)+INDEX(hc_mkt,1,AS6)+INDEX(hc_adm,1,AS6)</f>
        <v>15</v>
      </c>
      <c r="AT61" s="19" t="n">
        <f aca="false">INDEX(hc_dir,1,AT6)+INDEX(hc_tl,1,AT6)+INDEX(hc_dev,1,AT6)+INDEX(hc_data,1,AT6)+INDEX(hc_prod,1,AT6)+INDEX(hc_zoo,1,AT6)+INDEX(hc_sales,1,AT6)+INDEX(hc_mkt,1,AT6)+INDEX(hc_adm,1,AT6)</f>
        <v>15</v>
      </c>
      <c r="AU61" s="19" t="n">
        <f aca="false">INDEX(hc_dir,1,AU6)+INDEX(hc_tl,1,AU6)+INDEX(hc_dev,1,AU6)+INDEX(hc_data,1,AU6)+INDEX(hc_prod,1,AU6)+INDEX(hc_zoo,1,AU6)+INDEX(hc_sales,1,AU6)+INDEX(hc_mkt,1,AU6)+INDEX(hc_adm,1,AU6)</f>
        <v>15</v>
      </c>
      <c r="AV61" s="19" t="n">
        <f aca="false">INDEX(hc_dir,1,AV6)+INDEX(hc_tl,1,AV6)+INDEX(hc_dev,1,AV6)+INDEX(hc_data,1,AV6)+INDEX(hc_prod,1,AV6)+INDEX(hc_zoo,1,AV6)+INDEX(hc_sales,1,AV6)+INDEX(hc_mkt,1,AV6)+INDEX(hc_adm,1,AV6)</f>
        <v>15</v>
      </c>
      <c r="AW61" s="19" t="n">
        <f aca="false">INDEX(hc_dir,1,AW6)+INDEX(hc_tl,1,AW6)+INDEX(hc_dev,1,AW6)+INDEX(hc_data,1,AW6)+INDEX(hc_prod,1,AW6)+INDEX(hc_zoo,1,AW6)+INDEX(hc_sales,1,AW6)+INDEX(hc_mkt,1,AW6)+INDEX(hc_adm,1,AW6)</f>
        <v>15</v>
      </c>
      <c r="AX61" s="19" t="n">
        <f aca="false">INDEX(hc_dir,1,AX6)+INDEX(hc_tl,1,AX6)+INDEX(hc_dev,1,AX6)+INDEX(hc_data,1,AX6)+INDEX(hc_prod,1,AX6)+INDEX(hc_zoo,1,AX6)+INDEX(hc_sales,1,AX6)+INDEX(hc_mkt,1,AX6)+INDEX(hc_adm,1,AX6)</f>
        <v>15</v>
      </c>
      <c r="AY61" s="19" t="n">
        <f aca="false">INDEX(hc_dir,1,AY6)+INDEX(hc_tl,1,AY6)+INDEX(hc_dev,1,AY6)+INDEX(hc_data,1,AY6)+INDEX(hc_prod,1,AY6)+INDEX(hc_zoo,1,AY6)+INDEX(hc_sales,1,AY6)+INDEX(hc_mkt,1,AY6)+INDEX(hc_adm,1,AY6)</f>
        <v>20</v>
      </c>
      <c r="AZ61" s="19" t="n">
        <f aca="false">INDEX(hc_dir,1,AZ6)+INDEX(hc_tl,1,AZ6)+INDEX(hc_dev,1,AZ6)+INDEX(hc_data,1,AZ6)+INDEX(hc_prod,1,AZ6)+INDEX(hc_zoo,1,AZ6)+INDEX(hc_sales,1,AZ6)+INDEX(hc_mkt,1,AZ6)+INDEX(hc_adm,1,AZ6)</f>
        <v>20</v>
      </c>
      <c r="BA61" s="19" t="n">
        <f aca="false">INDEX(hc_dir,1,BA6)+INDEX(hc_tl,1,BA6)+INDEX(hc_dev,1,BA6)+INDEX(hc_data,1,BA6)+INDEX(hc_prod,1,BA6)+INDEX(hc_zoo,1,BA6)+INDEX(hc_sales,1,BA6)+INDEX(hc_mkt,1,BA6)+INDEX(hc_adm,1,BA6)</f>
        <v>20</v>
      </c>
      <c r="BB61" s="19" t="n">
        <f aca="false">INDEX(hc_dir,1,BB6)+INDEX(hc_tl,1,BB6)+INDEX(hc_dev,1,BB6)+INDEX(hc_data,1,BB6)+INDEX(hc_prod,1,BB6)+INDEX(hc_zoo,1,BB6)+INDEX(hc_sales,1,BB6)+INDEX(hc_mkt,1,BB6)+INDEX(hc_adm,1,BB6)</f>
        <v>20</v>
      </c>
      <c r="BC61" s="19" t="n">
        <f aca="false">INDEX(hc_dir,1,BC6)+INDEX(hc_tl,1,BC6)+INDEX(hc_dev,1,BC6)+INDEX(hc_data,1,BC6)+INDEX(hc_prod,1,BC6)+INDEX(hc_zoo,1,BC6)+INDEX(hc_sales,1,BC6)+INDEX(hc_mkt,1,BC6)+INDEX(hc_adm,1,BC6)</f>
        <v>20</v>
      </c>
      <c r="BD61" s="19" t="n">
        <f aca="false">INDEX(hc_dir,1,BD6)+INDEX(hc_tl,1,BD6)+INDEX(hc_dev,1,BD6)+INDEX(hc_data,1,BD6)+INDEX(hc_prod,1,BD6)+INDEX(hc_zoo,1,BD6)+INDEX(hc_sales,1,BD6)+INDEX(hc_mkt,1,BD6)+INDEX(hc_adm,1,BD6)</f>
        <v>20</v>
      </c>
      <c r="BE61" s="19" t="n">
        <f aca="false">INDEX(hc_dir,1,BE6)+INDEX(hc_tl,1,BE6)+INDEX(hc_dev,1,BE6)+INDEX(hc_data,1,BE6)+INDEX(hc_prod,1,BE6)+INDEX(hc_zoo,1,BE6)+INDEX(hc_sales,1,BE6)+INDEX(hc_mkt,1,BE6)+INDEX(hc_adm,1,BE6)</f>
        <v>20</v>
      </c>
      <c r="BF61" s="19" t="n">
        <f aca="false">INDEX(hc_dir,1,BF6)+INDEX(hc_tl,1,BF6)+INDEX(hc_dev,1,BF6)+INDEX(hc_data,1,BF6)+INDEX(hc_prod,1,BF6)+INDEX(hc_zoo,1,BF6)+INDEX(hc_sales,1,BF6)+INDEX(hc_mkt,1,BF6)+INDEX(hc_adm,1,BF6)</f>
        <v>20</v>
      </c>
      <c r="BG61" s="19" t="n">
        <f aca="false">INDEX(hc_dir,1,BG6)+INDEX(hc_tl,1,BG6)+INDEX(hc_dev,1,BG6)+INDEX(hc_data,1,BG6)+INDEX(hc_prod,1,BG6)+INDEX(hc_zoo,1,BG6)+INDEX(hc_sales,1,BG6)+INDEX(hc_mkt,1,BG6)+INDEX(hc_adm,1,BG6)</f>
        <v>20</v>
      </c>
      <c r="BH61" s="19" t="n">
        <f aca="false">INDEX(hc_dir,1,BH6)+INDEX(hc_tl,1,BH6)+INDEX(hc_dev,1,BH6)+INDEX(hc_data,1,BH6)+INDEX(hc_prod,1,BH6)+INDEX(hc_zoo,1,BH6)+INDEX(hc_sales,1,BH6)+INDEX(hc_mkt,1,BH6)+INDEX(hc_adm,1,BH6)</f>
        <v>20</v>
      </c>
      <c r="BI61" s="19" t="n">
        <f aca="false">INDEX(hc_dir,1,BI6)+INDEX(hc_tl,1,BI6)+INDEX(hc_dev,1,BI6)+INDEX(hc_data,1,BI6)+INDEX(hc_prod,1,BI6)+INDEX(hc_zoo,1,BI6)+INDEX(hc_sales,1,BI6)+INDEX(hc_mkt,1,BI6)+INDEX(hc_adm,1,BI6)</f>
        <v>20</v>
      </c>
      <c r="BJ61" s="19" t="n">
        <f aca="false">INDEX(hc_dir,1,BJ6)+INDEX(hc_tl,1,BJ6)+INDEX(hc_dev,1,BJ6)+INDEX(hc_data,1,BJ6)+INDEX(hc_prod,1,BJ6)+INDEX(hc_zoo,1,BJ6)+INDEX(hc_sales,1,BJ6)+INDEX(hc_mkt,1,BJ6)+INDEX(hc_adm,1,BJ6)</f>
        <v>20</v>
      </c>
    </row>
    <row r="62" customFormat="false" ht="15" hidden="false" customHeight="false" outlineLevel="0" collapsed="false">
      <c r="A62" s="5" t="s">
        <v>547</v>
      </c>
      <c r="B62" s="4" t="s">
        <v>169</v>
      </c>
      <c r="C62" s="25" t="n">
        <f aca="false">C61+C33</f>
        <v>7</v>
      </c>
      <c r="D62" s="25" t="n">
        <f aca="false">D61+D33</f>
        <v>7</v>
      </c>
      <c r="E62" s="25" t="n">
        <f aca="false">E61+E33</f>
        <v>7</v>
      </c>
      <c r="F62" s="25" t="n">
        <f aca="false">F61+F33</f>
        <v>10</v>
      </c>
      <c r="G62" s="25" t="n">
        <f aca="false">G61+G33</f>
        <v>10</v>
      </c>
      <c r="H62" s="25" t="n">
        <f aca="false">H61+H33</f>
        <v>10</v>
      </c>
      <c r="I62" s="25" t="n">
        <f aca="false">I61+I33</f>
        <v>10</v>
      </c>
      <c r="J62" s="25" t="n">
        <f aca="false">J61+J33</f>
        <v>10</v>
      </c>
      <c r="K62" s="25" t="n">
        <f aca="false">K61+K33</f>
        <v>10</v>
      </c>
      <c r="L62" s="25" t="n">
        <f aca="false">L61+L33</f>
        <v>10</v>
      </c>
      <c r="M62" s="25" t="n">
        <f aca="false">M61+M33</f>
        <v>10</v>
      </c>
      <c r="N62" s="25" t="n">
        <f aca="false">N61+N33</f>
        <v>10</v>
      </c>
      <c r="O62" s="25" t="n">
        <f aca="false">O61+O33</f>
        <v>17</v>
      </c>
      <c r="P62" s="25" t="n">
        <f aca="false">P61+P33</f>
        <v>17</v>
      </c>
      <c r="Q62" s="25" t="n">
        <f aca="false">Q61+Q33</f>
        <v>17</v>
      </c>
      <c r="R62" s="25" t="n">
        <f aca="false">R61+R33</f>
        <v>17</v>
      </c>
      <c r="S62" s="25" t="n">
        <f aca="false">S61+S33</f>
        <v>17</v>
      </c>
      <c r="T62" s="25" t="n">
        <f aca="false">T61+T33</f>
        <v>17</v>
      </c>
      <c r="U62" s="25" t="n">
        <f aca="false">U61+U33</f>
        <v>18</v>
      </c>
      <c r="V62" s="25" t="n">
        <f aca="false">V61+V33</f>
        <v>18</v>
      </c>
      <c r="W62" s="25" t="n">
        <f aca="false">W61+W33</f>
        <v>18</v>
      </c>
      <c r="X62" s="25" t="n">
        <f aca="false">X61+X33</f>
        <v>18</v>
      </c>
      <c r="Y62" s="25" t="n">
        <f aca="false">Y61+Y33</f>
        <v>18</v>
      </c>
      <c r="Z62" s="25" t="n">
        <f aca="false">Z61+Z33</f>
        <v>19</v>
      </c>
      <c r="AA62" s="25" t="n">
        <f aca="false">AA61+AA33</f>
        <v>20</v>
      </c>
      <c r="AB62" s="25" t="n">
        <f aca="false">AB61+AB33</f>
        <v>21</v>
      </c>
      <c r="AC62" s="25" t="n">
        <f aca="false">AC61+AC33</f>
        <v>22</v>
      </c>
      <c r="AD62" s="25" t="n">
        <f aca="false">AD61+AD33</f>
        <v>22</v>
      </c>
      <c r="AE62" s="25" t="n">
        <f aca="false">AE61+AE33</f>
        <v>22</v>
      </c>
      <c r="AF62" s="25" t="n">
        <f aca="false">AF61+AF33</f>
        <v>22</v>
      </c>
      <c r="AG62" s="25" t="n">
        <f aca="false">AG61+AG33</f>
        <v>22</v>
      </c>
      <c r="AH62" s="25" t="n">
        <f aca="false">AH61+AH33</f>
        <v>22</v>
      </c>
      <c r="AI62" s="25" t="n">
        <f aca="false">AI61+AI33</f>
        <v>24</v>
      </c>
      <c r="AJ62" s="25" t="n">
        <f aca="false">AJ61+AJ33</f>
        <v>24</v>
      </c>
      <c r="AK62" s="25" t="n">
        <f aca="false">AK61+AK33</f>
        <v>24</v>
      </c>
      <c r="AL62" s="25" t="n">
        <f aca="false">AL61+AL33</f>
        <v>25</v>
      </c>
      <c r="AM62" s="25" t="n">
        <f aca="false">AM61+AM33</f>
        <v>29</v>
      </c>
      <c r="AN62" s="25" t="n">
        <f aca="false">AN61+AN33</f>
        <v>30</v>
      </c>
      <c r="AO62" s="25" t="n">
        <f aca="false">AO61+AO33</f>
        <v>30</v>
      </c>
      <c r="AP62" s="25" t="n">
        <f aca="false">AP61+AP33</f>
        <v>30</v>
      </c>
      <c r="AQ62" s="25" t="n">
        <f aca="false">AQ61+AQ33</f>
        <v>31</v>
      </c>
      <c r="AR62" s="25" t="n">
        <f aca="false">AR61+AR33</f>
        <v>31</v>
      </c>
      <c r="AS62" s="25" t="n">
        <f aca="false">AS61+AS33</f>
        <v>32</v>
      </c>
      <c r="AT62" s="25" t="n">
        <f aca="false">AT61+AT33</f>
        <v>32</v>
      </c>
      <c r="AU62" s="25" t="n">
        <f aca="false">AU61+AU33</f>
        <v>33</v>
      </c>
      <c r="AV62" s="25" t="n">
        <f aca="false">AV61+AV33</f>
        <v>33</v>
      </c>
      <c r="AW62" s="25" t="n">
        <f aca="false">AW61+AW33</f>
        <v>33</v>
      </c>
      <c r="AX62" s="25" t="n">
        <f aca="false">AX61+AX33</f>
        <v>35</v>
      </c>
      <c r="AY62" s="25" t="n">
        <f aca="false">AY61+AY33</f>
        <v>40</v>
      </c>
      <c r="AZ62" s="25" t="n">
        <f aca="false">AZ61+AZ33</f>
        <v>40</v>
      </c>
      <c r="BA62" s="25" t="n">
        <f aca="false">BA61+BA33</f>
        <v>40</v>
      </c>
      <c r="BB62" s="25" t="n">
        <f aca="false">BB61+BB33</f>
        <v>40</v>
      </c>
      <c r="BC62" s="25" t="n">
        <f aca="false">BC61+BC33</f>
        <v>42</v>
      </c>
      <c r="BD62" s="25" t="n">
        <f aca="false">BD61+BD33</f>
        <v>42</v>
      </c>
      <c r="BE62" s="25" t="n">
        <f aca="false">BE61+BE33</f>
        <v>43</v>
      </c>
      <c r="BF62" s="25" t="n">
        <f aca="false">BF61+BF33</f>
        <v>43</v>
      </c>
      <c r="BG62" s="25" t="n">
        <f aca="false">BG61+BG33</f>
        <v>43</v>
      </c>
      <c r="BH62" s="25" t="n">
        <f aca="false">BH61+BH33</f>
        <v>44</v>
      </c>
      <c r="BI62" s="25" t="n">
        <f aca="false">BI61+BI33</f>
        <v>44</v>
      </c>
      <c r="BJ62" s="25" t="n">
        <f aca="false">BJ61+BJ33</f>
        <v>44</v>
      </c>
    </row>
    <row r="63" customFormat="false" ht="15" hidden="false" customHeight="false" outlineLevel="0" collapsed="false">
      <c r="A63" s="7" t="s">
        <v>246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customFormat="false" ht="15" hidden="false" customHeight="false" outlineLevel="0" collapsed="false">
      <c r="A64" s="4" t="s">
        <v>247</v>
      </c>
      <c r="B64" s="4" t="s">
        <v>67</v>
      </c>
      <c r="C64" s="19" t="n">
        <f aca="false">C26*dso/30</f>
        <v>0</v>
      </c>
      <c r="D64" s="19" t="n">
        <f aca="false">D26*dso/30</f>
        <v>0</v>
      </c>
      <c r="E64" s="19" t="n">
        <f aca="false">E26*dso/30</f>
        <v>0</v>
      </c>
      <c r="F64" s="19" t="n">
        <f aca="false">F26*dso/30</f>
        <v>2829.4</v>
      </c>
      <c r="G64" s="19" t="n">
        <f aca="false">G26*dso/30</f>
        <v>3999.21872</v>
      </c>
      <c r="H64" s="19" t="n">
        <f aca="false">H26*dso/30</f>
        <v>5154.99961536</v>
      </c>
      <c r="I64" s="19" t="n">
        <f aca="false">I26*dso/30</f>
        <v>6296.91113997568</v>
      </c>
      <c r="J64" s="19" t="n">
        <f aca="false">J26*dso/30</f>
        <v>7425.11972629597</v>
      </c>
      <c r="K64" s="19" t="n">
        <f aca="false">K26*dso/30</f>
        <v>8539.78980958042</v>
      </c>
      <c r="L64" s="19" t="n">
        <f aca="false">L26*dso/30</f>
        <v>9641.08385186546</v>
      </c>
      <c r="M64" s="19" t="n">
        <f aca="false">M26*dso/30</f>
        <v>10729.1623656431</v>
      </c>
      <c r="N64" s="19" t="n">
        <f aca="false">N26*dso/30</f>
        <v>11804.1839372554</v>
      </c>
      <c r="O64" s="19" t="n">
        <f aca="false">O26*dso/30</f>
        <v>25688.124151308</v>
      </c>
      <c r="P64" s="19" t="n">
        <f aca="false">P26*dso/30</f>
        <v>30743.9943734923</v>
      </c>
      <c r="Q64" s="19" t="n">
        <f aca="false">Q26*dso/30</f>
        <v>35741.5125530104</v>
      </c>
      <c r="R64" s="19" t="n">
        <f aca="false">R26*dso/30</f>
        <v>40681.3789143743</v>
      </c>
      <c r="S64" s="19" t="n">
        <f aca="false">S26*dso/30</f>
        <v>45564.2852794017</v>
      </c>
      <c r="T64" s="19" t="n">
        <f aca="false">T26*dso/30</f>
        <v>50390.9151680489</v>
      </c>
      <c r="U64" s="19" t="n">
        <f aca="false">U26*dso/30</f>
        <v>55161.9438980323</v>
      </c>
      <c r="V64" s="19" t="n">
        <f aca="false">V26*dso/30</f>
        <v>59878.038683256</v>
      </c>
      <c r="W64" s="19" t="n">
        <f aca="false">W26*dso/30</f>
        <v>64539.8587310569</v>
      </c>
      <c r="X64" s="19" t="n">
        <f aca="false">X26*dso/30</f>
        <v>87548.0553382842</v>
      </c>
      <c r="Y64" s="19" t="n">
        <f aca="false">Y26*dso/30</f>
        <v>73703.2719862248</v>
      </c>
      <c r="Z64" s="19" t="n">
        <f aca="false">Z26*dso/30</f>
        <v>78206.1444343901</v>
      </c>
      <c r="AA64" s="19" t="n">
        <f aca="false">AA26*dso/30</f>
        <v>98097.5388484171</v>
      </c>
      <c r="AB64" s="19" t="n">
        <f aca="false">AB26*dso/30</f>
        <v>106224.203018236</v>
      </c>
      <c r="AC64" s="19" t="n">
        <f aca="false">AC26*dso/30</f>
        <v>114257.951258017</v>
      </c>
      <c r="AD64" s="19" t="n">
        <f aca="false">AD26*dso/30</f>
        <v>122199.898558921</v>
      </c>
      <c r="AE64" s="19" t="n">
        <f aca="false">AE26*dso/30</f>
        <v>130051.146532214</v>
      </c>
      <c r="AF64" s="19" t="n">
        <f aca="false">AF26*dso/30</f>
        <v>137812.783569827</v>
      </c>
      <c r="AG64" s="19" t="n">
        <f aca="false">AG26*dso/30</f>
        <v>145485.88500299</v>
      </c>
      <c r="AH64" s="19" t="n">
        <f aca="false">AH26*dso/30</f>
        <v>153071.513258954</v>
      </c>
      <c r="AI64" s="19" t="n">
        <f aca="false">AI26*dso/30</f>
        <v>160570.718015846</v>
      </c>
      <c r="AJ64" s="19" t="n">
        <f aca="false">AJ26*dso/30</f>
        <v>202784.536355656</v>
      </c>
      <c r="AK64" s="19" t="n">
        <f aca="false">AK26*dso/30</f>
        <v>175313.992915388</v>
      </c>
      <c r="AL64" s="19" t="n">
        <f aca="false">AL26*dso/30</f>
        <v>182560.100036403</v>
      </c>
      <c r="AM64" s="19" t="n">
        <f aca="false">AM26*dso/30</f>
        <v>213378.971998548</v>
      </c>
      <c r="AN64" s="19" t="n">
        <f aca="false">AN26*dso/30</f>
        <v>223873.472003385</v>
      </c>
      <c r="AO64" s="19" t="n">
        <f aca="false">AO26*dso/30</f>
        <v>234249.206022165</v>
      </c>
      <c r="AP64" s="19" t="n">
        <f aca="false">AP26*dso/30</f>
        <v>244507.599246719</v>
      </c>
      <c r="AQ64" s="19" t="n">
        <f aca="false">AQ26*dso/30</f>
        <v>254650.059766578</v>
      </c>
      <c r="AR64" s="19" t="n">
        <f aca="false">AR26*dso/30</f>
        <v>264677.978774199</v>
      </c>
      <c r="AS64" s="19" t="n">
        <f aca="false">AS26*dso/30</f>
        <v>274592.730767729</v>
      </c>
      <c r="AT64" s="19" t="n">
        <f aca="false">AT26*dso/30</f>
        <v>284395.673751336</v>
      </c>
      <c r="AU64" s="19" t="n">
        <f aca="false">AU26*dso/30</f>
        <v>294088.14943314</v>
      </c>
      <c r="AV64" s="19" t="n">
        <f aca="false">AV26*dso/30</f>
        <v>361004.816754096</v>
      </c>
      <c r="AW64" s="19" t="n">
        <f aca="false">AW26*dso/30</f>
        <v>313146.985414533</v>
      </c>
      <c r="AX64" s="19" t="n">
        <f aca="false">AX26*dso/30</f>
        <v>322515.949398379</v>
      </c>
      <c r="AY64" s="19" t="n">
        <f aca="false">AY26*dso/30</f>
        <v>365214.670272911</v>
      </c>
      <c r="AZ64" s="19" t="n">
        <f aca="false">AZ26*dso/30</f>
        <v>377176.216741116</v>
      </c>
      <c r="BA64" s="19" t="n">
        <f aca="false">BA26*dso/30</f>
        <v>389004.259871303</v>
      </c>
      <c r="BB64" s="19" t="n">
        <f aca="false">BB26*dso/30</f>
        <v>400700.401703527</v>
      </c>
      <c r="BC64" s="19" t="n">
        <f aca="false">BC26*dso/30</f>
        <v>412266.225053365</v>
      </c>
      <c r="BD64" s="19" t="n">
        <f aca="false">BD26*dso/30</f>
        <v>423703.293742604</v>
      </c>
      <c r="BE64" s="19" t="n">
        <f aca="false">BE26*dso/30</f>
        <v>435013.152827173</v>
      </c>
      <c r="BF64" s="19" t="n">
        <f aca="false">BF26*dso/30</f>
        <v>446197.328822327</v>
      </c>
      <c r="BG64" s="19" t="n">
        <f aca="false">BG26*dso/30</f>
        <v>457257.329925139</v>
      </c>
      <c r="BH64" s="19" t="n">
        <f aca="false">BH26*dso/30</f>
        <v>548461.312900984</v>
      </c>
      <c r="BI64" s="19" t="n">
        <f aca="false">BI26*dso/30</f>
        <v>479010.749967386</v>
      </c>
      <c r="BJ64" s="19" t="n">
        <f aca="false">BJ26*dso/30</f>
        <v>489707.095675257</v>
      </c>
    </row>
    <row r="65" customFormat="false" ht="15" hidden="false" customHeight="false" outlineLevel="0" collapsed="false">
      <c r="A65" s="4" t="s">
        <v>249</v>
      </c>
      <c r="B65" s="4" t="s">
        <v>67</v>
      </c>
      <c r="C65" s="19" t="n">
        <f aca="false">-(C40+C59)*dpo/30</f>
        <v>82666.6666666667</v>
      </c>
      <c r="D65" s="19" t="n">
        <f aca="false">-(D40+D59)*dpo/30</f>
        <v>86666.6666666667</v>
      </c>
      <c r="E65" s="19" t="n">
        <f aca="false">-(E40+E59)*dpo/30</f>
        <v>109333.333333333</v>
      </c>
      <c r="F65" s="19" t="n">
        <f aca="false">-(F40+F59)*dpo/30</f>
        <v>112020.84</v>
      </c>
      <c r="G65" s="19" t="n">
        <f aca="false">-(G40+G59)*dpo/30</f>
        <v>138920.102666667</v>
      </c>
      <c r="H65" s="19" t="n">
        <f aca="false">-(H40+H59)*dpo/30</f>
        <v>132483.240848</v>
      </c>
      <c r="I65" s="19" t="n">
        <f aca="false">-(I40+I59)*dpo/30</f>
        <v>129376.954704491</v>
      </c>
      <c r="J65" s="19" t="n">
        <f aca="false">-(J40+J59)*dpo/30</f>
        <v>112934.61066137</v>
      </c>
      <c r="K65" s="19" t="n">
        <f aca="false">-(K40+K59)*dpo/30</f>
        <v>113156.241413434</v>
      </c>
      <c r="L65" s="19" t="n">
        <f aca="false">-(L40+L59)*dpo/30</f>
        <v>113375.212596472</v>
      </c>
      <c r="M65" s="19" t="n">
        <f aca="false">-(M40+M59)*dpo/30</f>
        <v>113591.556125315</v>
      </c>
      <c r="N65" s="19" t="n">
        <f aca="false">-(N40+N59)*dpo/30</f>
        <v>113805.303531811</v>
      </c>
      <c r="O65" s="19" t="n">
        <f aca="false">-(O40+O59)*dpo/30</f>
        <v>200807.956267901</v>
      </c>
      <c r="P65" s="19" t="n">
        <f aca="false">-(P40+P59)*dpo/30</f>
        <v>201759.714328686</v>
      </c>
      <c r="Q65" s="19" t="n">
        <f aca="false">-(Q40+Q59)*dpo/30</f>
        <v>202700.051292742</v>
      </c>
      <c r="R65" s="19" t="n">
        <f aca="false">-(R40+R59)*dpo/30</f>
        <v>203629.104213229</v>
      </c>
      <c r="S65" s="19" t="n">
        <f aca="false">-(S40+S59)*dpo/30</f>
        <v>204547.00849867</v>
      </c>
      <c r="T65" s="19" t="n">
        <f aca="false">-(T40+T59)*dpo/30</f>
        <v>218787.231266019</v>
      </c>
      <c r="U65" s="19" t="n">
        <f aca="false">-(U40+U59)*dpo/30</f>
        <v>212124.904693494</v>
      </c>
      <c r="V65" s="19" t="n">
        <f aca="false">-(V40+V59)*dpo/30</f>
        <v>213010.159373172</v>
      </c>
      <c r="W65" s="19" t="n">
        <f aca="false">-(W40+W59)*dpo/30</f>
        <v>213884.790996694</v>
      </c>
      <c r="X65" s="19" t="n">
        <f aca="false">-(X40+X59)*dpo/30</f>
        <v>251415.5937074</v>
      </c>
      <c r="Y65" s="19" t="n">
        <f aca="false">-(Y40+Y59)*dpo/30</f>
        <v>215602.693452245</v>
      </c>
      <c r="Z65" s="19" t="n">
        <f aca="false">-(Z40+Z59)*dpo/30</f>
        <v>219771.214666818</v>
      </c>
      <c r="AA65" s="19" t="n">
        <f aca="false">-(AA40+AA59)*dpo/30</f>
        <v>269364.863908157</v>
      </c>
      <c r="AB65" s="19" t="n">
        <f aca="false">-(AB40+AB59)*dpo/30</f>
        <v>279917.014229259</v>
      </c>
      <c r="AC65" s="19" t="n">
        <f aca="false">-(AC40+AC59)*dpo/30</f>
        <v>287510.583746508</v>
      </c>
      <c r="AD65" s="19" t="n">
        <f aca="false">-(AD40+AD59)*dpo/30</f>
        <v>289022.04542955</v>
      </c>
      <c r="AE65" s="19" t="n">
        <f aca="false">-(AE40+AE59)*dpo/30</f>
        <v>290515.369572395</v>
      </c>
      <c r="AF65" s="19" t="n">
        <f aca="false">-(AF40+AF59)*dpo/30</f>
        <v>305324.10715886</v>
      </c>
      <c r="AG65" s="19" t="n">
        <f aca="false">-(AG40+AG59)*dpo/30</f>
        <v>293448.47322762</v>
      </c>
      <c r="AH65" s="19" t="n">
        <f aca="false">-(AH40+AH59)*dpo/30</f>
        <v>294888.680236889</v>
      </c>
      <c r="AI65" s="19" t="n">
        <f aca="false">-(AI40+AI59)*dpo/30</f>
        <v>305866.604762046</v>
      </c>
      <c r="AJ65" s="19" t="n">
        <f aca="false">-(AJ40+AJ59)*dpo/30</f>
        <v>367272.454192901</v>
      </c>
      <c r="AK65" s="19" t="n">
        <f aca="false">-(AK40+AK59)*dpo/30</f>
        <v>308661.433430587</v>
      </c>
      <c r="AL65" s="19" t="n">
        <f aca="false">-(AL40+AL59)*dpo/30</f>
        <v>319037.49491742</v>
      </c>
      <c r="AM65" s="19" t="n">
        <f aca="false">-(AM40+AM59)*dpo/30</f>
        <v>398780.067909731</v>
      </c>
      <c r="AN65" s="19" t="n">
        <f aca="false">-(AN40+AN59)*dpo/30</f>
        <v>407092.075603934</v>
      </c>
      <c r="AO65" s="19" t="n">
        <f aca="false">-(AO40+AO59)*dpo/30</f>
        <v>409013.804955807</v>
      </c>
      <c r="AP65" s="19" t="n">
        <f aca="false">-(AP40+AP59)*dpo/30</f>
        <v>410912.473555457</v>
      </c>
      <c r="AQ65" s="19" t="n">
        <f aca="false">-(AQ40+AQ59)*dpo/30</f>
        <v>416454.170631912</v>
      </c>
      <c r="AR65" s="19" t="n">
        <f aca="false">-(AR40+AR59)*dpo/30</f>
        <v>431640.877926782</v>
      </c>
      <c r="AS65" s="19" t="n">
        <f aca="false">-(AS40+AS59)*dpo/30</f>
        <v>426505.615567448</v>
      </c>
      <c r="AT65" s="19" t="n">
        <f aca="false">-(AT40+AT59)*dpo/30</f>
        <v>428314.775439758</v>
      </c>
      <c r="AU65" s="19" t="n">
        <f aca="false">-(AU40+AU59)*dpo/30</f>
        <v>439556.162893601</v>
      </c>
      <c r="AV65" s="19" t="n">
        <f aca="false">-(AV40+AV59)*dpo/30</f>
        <v>534655.496781331</v>
      </c>
      <c r="AW65" s="19" t="n">
        <f aca="false">-(AW40+AW59)*dpo/30</f>
        <v>443066.971995742</v>
      </c>
      <c r="AX65" s="19" t="n">
        <f aca="false">-(AX40+AX59)*dpo/30</f>
        <v>454823.592840913</v>
      </c>
      <c r="AY65" s="19" t="n">
        <f aca="false">-(AY40+AY59)*dpo/30</f>
        <v>555558.615964739</v>
      </c>
      <c r="AZ65" s="19" t="n">
        <f aca="false">-(AZ40+AZ59)*dpo/30</f>
        <v>557702.461978442</v>
      </c>
      <c r="BA65" s="19" t="n">
        <f aca="false">-(BA40+BA59)*dpo/30</f>
        <v>559820.581839981</v>
      </c>
      <c r="BB65" s="19" t="n">
        <f aca="false">-(BB40+BB59)*dpo/30</f>
        <v>561913.284263181</v>
      </c>
      <c r="BC65" s="19" t="n">
        <f aca="false">-(BC40+BC59)*dpo/30</f>
        <v>580592.793007303</v>
      </c>
      <c r="BD65" s="19" t="n">
        <f aca="false">-(BD40+BD59)*dpo/30</f>
        <v>595968.905254829</v>
      </c>
      <c r="BE65" s="19" t="n">
        <f aca="false">-(BE40+BE59)*dpo/30</f>
        <v>588502.940613718</v>
      </c>
      <c r="BF65" s="19" t="n">
        <f aca="false">-(BF40+BF59)*dpo/30</f>
        <v>590496.986994133</v>
      </c>
      <c r="BG65" s="19" t="n">
        <f aca="false">-(BG40+BG59)*dpo/30</f>
        <v>592467.104817983</v>
      </c>
      <c r="BH65" s="19" t="n">
        <f aca="false">-(BH40+BH59)*dpo/30</f>
        <v>727765.532269614</v>
      </c>
      <c r="BI65" s="19" t="n">
        <f aca="false">-(BI40+BI59)*dpo/30</f>
        <v>603021.984295992</v>
      </c>
      <c r="BJ65" s="19" t="n">
        <f aca="false">-(BJ40+BJ59)*dpo/30</f>
        <v>604922.02556472</v>
      </c>
    </row>
    <row r="66" customFormat="false" ht="15" hidden="false" customHeight="false" outlineLevel="0" collapsed="false">
      <c r="A66" s="4" t="s">
        <v>239</v>
      </c>
      <c r="B66" s="4" t="s">
        <v>67</v>
      </c>
      <c r="C66" s="19" t="n">
        <f aca="false">-C64+C65</f>
        <v>82666.6666666667</v>
      </c>
      <c r="D66" s="19" t="n">
        <f aca="false">-(D64-C64)+(D65-C65)</f>
        <v>4000</v>
      </c>
      <c r="E66" s="19" t="n">
        <f aca="false">-(E64-D64)+(E65-D65)</f>
        <v>22666.6666666667</v>
      </c>
      <c r="F66" s="19" t="n">
        <f aca="false">-(F64-E64)+(F65-E65)</f>
        <v>-141.893333333318</v>
      </c>
      <c r="G66" s="19" t="n">
        <f aca="false">-(G64-F64)+(G65-F65)</f>
        <v>25729.4439466667</v>
      </c>
      <c r="H66" s="19" t="n">
        <f aca="false">-(H64-G64)+(H65-G65)</f>
        <v>-7592.64271402666</v>
      </c>
      <c r="I66" s="19" t="n">
        <f aca="false">-(I64-H64)+(I65-H65)</f>
        <v>-4248.19766812502</v>
      </c>
      <c r="J66" s="19" t="n">
        <f aca="false">-(J64-I64)+(J65-I65)</f>
        <v>-17570.5526294408</v>
      </c>
      <c r="K66" s="19" t="n">
        <f aca="false">-(K64-J64)+(K65-J65)</f>
        <v>-893.039331220874</v>
      </c>
      <c r="L66" s="19" t="n">
        <f aca="false">-(L64-K64)+(L65-K65)</f>
        <v>-882.322859246253</v>
      </c>
      <c r="M66" s="19" t="n">
        <f aca="false">-(M64-L64)+(M65-L65)</f>
        <v>-871.734984935323</v>
      </c>
      <c r="N66" s="19" t="n">
        <f aca="false">-(N64-M64)+(N65-M65)</f>
        <v>-861.274165116023</v>
      </c>
      <c r="O66" s="19" t="n">
        <f aca="false">-(O64-N64)+(O65-N65)</f>
        <v>73118.7125220371</v>
      </c>
      <c r="P66" s="19" t="n">
        <f aca="false">-(P64-O64)+(P65-O65)</f>
        <v>-4104.11216139915</v>
      </c>
      <c r="Q66" s="19" t="n">
        <f aca="false">-(Q64-P64)+(Q65-P65)</f>
        <v>-4057.18121546232</v>
      </c>
      <c r="R66" s="19" t="n">
        <f aca="false">-(R64-Q64)+(R65-Q65)</f>
        <v>-4010.81344087675</v>
      </c>
      <c r="S66" s="19" t="n">
        <f aca="false">-(S64-R64)+(S65-R65)</f>
        <v>-3965.00207958626</v>
      </c>
      <c r="T66" s="19" t="n">
        <f aca="false">-(T64-S64)+(T65-S65)</f>
        <v>9413.59287870215</v>
      </c>
      <c r="U66" s="19" t="n">
        <f aca="false">-(U64-T64)+(U65-T65)</f>
        <v>-11433.355302509</v>
      </c>
      <c r="V66" s="19" t="n">
        <f aca="false">-(V64-U64)+(V65-U65)</f>
        <v>-3830.8401055455</v>
      </c>
      <c r="W66" s="19" t="n">
        <f aca="false">-(W64-V64)+(W65-V65)</f>
        <v>-3787.18842427898</v>
      </c>
      <c r="X66" s="19" t="n">
        <f aca="false">-(X64-W64)+(X65-W65)</f>
        <v>14522.6061034791</v>
      </c>
      <c r="Y66" s="19" t="n">
        <f aca="false">-(Y64-X64)+(Y65-X65)</f>
        <v>-21968.1169030961</v>
      </c>
      <c r="Z66" s="19" t="n">
        <f aca="false">-(Z64-Y64)+(Z65-Y65)</f>
        <v>-334.351233592257</v>
      </c>
      <c r="AA66" s="19" t="n">
        <f aca="false">-(AA64-Z64)+(AA65-Z65)</f>
        <v>29702.2548273121</v>
      </c>
      <c r="AB66" s="19" t="n">
        <f aca="false">-(AB64-AA64)+(AB65-AA65)</f>
        <v>2425.48615128308</v>
      </c>
      <c r="AC66" s="19" t="n">
        <f aca="false">-(AC64-AB64)+(AC65-AB65)</f>
        <v>-440.178722532233</v>
      </c>
      <c r="AD66" s="19" t="n">
        <f aca="false">-(AD64-AC64)+(AD65-AC65)</f>
        <v>-6430.48561786195</v>
      </c>
      <c r="AE66" s="19" t="n">
        <f aca="false">-(AE64-AD64)+(AE65-AD65)</f>
        <v>-6357.92383044744</v>
      </c>
      <c r="AF66" s="19" t="n">
        <f aca="false">-(AF64-AE64)+(AF65-AE65)</f>
        <v>7047.10054885109</v>
      </c>
      <c r="AG66" s="19" t="n">
        <f aca="false">-(AG64-AF64)+(AG65-AF65)</f>
        <v>-19548.7353644017</v>
      </c>
      <c r="AH66" s="19" t="n">
        <f aca="false">-(AH64-AG64)+(AH65-AG65)</f>
        <v>-6145.42124669559</v>
      </c>
      <c r="AI66" s="19" t="n">
        <f aca="false">-(AI64-AH64)+(AI65-AH65)</f>
        <v>3478.7197682648</v>
      </c>
      <c r="AJ66" s="19" t="n">
        <f aca="false">-(AJ64-AI64)+(AJ65-AI65)</f>
        <v>19192.0310910456</v>
      </c>
      <c r="AK66" s="19" t="n">
        <f aca="false">-(AK64-AJ64)+(AK65-AJ65)</f>
        <v>-31140.4773220469</v>
      </c>
      <c r="AL66" s="19" t="n">
        <f aca="false">-(AL64-AK64)+(AL65-AK65)</f>
        <v>3129.95436581763</v>
      </c>
      <c r="AM66" s="19" t="n">
        <f aca="false">-(AM64-AL64)+(AM65-AL65)</f>
        <v>48923.7010301673</v>
      </c>
      <c r="AN66" s="19" t="n">
        <f aca="false">-(AN64-AM64)+(AN65-AM65)</f>
        <v>-2182.49231063432</v>
      </c>
      <c r="AO66" s="19" t="n">
        <f aca="false">-(AO64-AN64)+(AO65-AN65)</f>
        <v>-8454.00466690658</v>
      </c>
      <c r="AP66" s="19" t="n">
        <f aca="false">-(AP64-AO64)+(AP65-AO65)</f>
        <v>-8359.72462490364</v>
      </c>
      <c r="AQ66" s="19" t="n">
        <f aca="false">-(AQ64-AP64)+(AQ65-AP65)</f>
        <v>-4600.76344340495</v>
      </c>
      <c r="AR66" s="19" t="n">
        <f aca="false">-(AR64-AQ64)+(AR65-AQ65)</f>
        <v>5158.78828724942</v>
      </c>
      <c r="AS66" s="19" t="n">
        <f aca="false">-(AS64-AR64)+(AS65-AR65)</f>
        <v>-15050.0143528644</v>
      </c>
      <c r="AT66" s="19" t="n">
        <f aca="false">-(AT64-AS64)+(AT65-AS65)</f>
        <v>-7993.78311129671</v>
      </c>
      <c r="AU66" s="19" t="n">
        <f aca="false">-(AU64-AT64)+(AU65-AT65)</f>
        <v>1548.9117720389</v>
      </c>
      <c r="AV66" s="19" t="n">
        <f aca="false">-(AV64-AU64)+(AV65-AU65)</f>
        <v>28182.6665667746</v>
      </c>
      <c r="AW66" s="19" t="n">
        <f aca="false">-(AW64-AV64)+(AW65-AV65)</f>
        <v>-43730.6934460269</v>
      </c>
      <c r="AX66" s="19" t="n">
        <f aca="false">-(AX64-AW64)+(AX65-AW65)</f>
        <v>2387.65686132544</v>
      </c>
      <c r="AY66" s="19" t="n">
        <f aca="false">-(AY64-AX64)+(AY65-AX65)</f>
        <v>58036.3022492939</v>
      </c>
      <c r="AZ66" s="19" t="n">
        <f aca="false">-(AZ64-AY64)+(AZ65-AY65)</f>
        <v>-9817.7004545019</v>
      </c>
      <c r="BA66" s="19" t="n">
        <f aca="false">-(BA64-AZ64)+(BA65-AZ65)</f>
        <v>-9709.92326864804</v>
      </c>
      <c r="BB66" s="19" t="n">
        <f aca="false">-(BB64-BA64)+(BB65-BA65)</f>
        <v>-9603.4394090242</v>
      </c>
      <c r="BC66" s="19" t="n">
        <f aca="false">-(BC64-BB64)+(BC65-BB65)</f>
        <v>7113.68539428426</v>
      </c>
      <c r="BD66" s="19" t="n">
        <f aca="false">-(BD64-BC64)+(BD65-BC65)</f>
        <v>3939.04355828592</v>
      </c>
      <c r="BE66" s="19" t="n">
        <f aca="false">-(BE64-BD64)+(BE65-BD65)</f>
        <v>-18775.8237256798</v>
      </c>
      <c r="BF66" s="19" t="n">
        <f aca="false">-(BF64-BE64)+(BF65-BE65)</f>
        <v>-9190.12961473857</v>
      </c>
      <c r="BG66" s="19" t="n">
        <f aca="false">-(BG64-BF64)+(BG65-BF65)</f>
        <v>-9089.8832789617</v>
      </c>
      <c r="BH66" s="19" t="n">
        <f aca="false">-(BH64-BG64)+(BH65-BG65)</f>
        <v>44094.4444757859</v>
      </c>
      <c r="BI66" s="19" t="n">
        <f aca="false">-(BI64-BH64)+(BI65-BH65)</f>
        <v>-55292.9850400236</v>
      </c>
      <c r="BJ66" s="19" t="n">
        <f aca="false">-(BJ64-BI64)+(BJ65-BI65)</f>
        <v>-8796.30443914316</v>
      </c>
    </row>
    <row r="67" customFormat="false" ht="15" hidden="false" customHeight="false" outlineLevel="0" collapsed="false">
      <c r="A67" s="5" t="s">
        <v>240</v>
      </c>
      <c r="B67" s="4" t="s">
        <v>67</v>
      </c>
      <c r="C67" s="25" t="n">
        <f aca="false">C60+C66</f>
        <v>-41333.3333333333</v>
      </c>
      <c r="D67" s="25" t="n">
        <f aca="false">D60+D66</f>
        <v>-126000</v>
      </c>
      <c r="E67" s="25" t="n">
        <f aca="false">E60+E66</f>
        <v>-141333.333333333</v>
      </c>
      <c r="F67" s="25" t="n">
        <f aca="false">F60+F66</f>
        <v>-159684.953333333</v>
      </c>
      <c r="G67" s="25" t="n">
        <f aca="false">G60+G66</f>
        <v>-170653.053893333</v>
      </c>
      <c r="H67" s="25" t="n">
        <f aca="false">H60+H66</f>
        <v>-190852.505139947</v>
      </c>
      <c r="I67" s="25" t="n">
        <f aca="false">I60+I66</f>
        <v>-179422.896304934</v>
      </c>
      <c r="J67" s="25" t="n">
        <f aca="false">J60+J66</f>
        <v>-164697.109442608</v>
      </c>
      <c r="K67" s="25" t="n">
        <f aca="false">K60+K66</f>
        <v>-145008.03202263</v>
      </c>
      <c r="L67" s="25" t="n">
        <f aca="false">L60+L66</f>
        <v>-142021.890198359</v>
      </c>
      <c r="M67" s="25" t="n">
        <f aca="false">M60+M66</f>
        <v>-139071.582075978</v>
      </c>
      <c r="N67" s="25" t="n">
        <f aca="false">N60+N66</f>
        <v>-136156.677651067</v>
      </c>
      <c r="O67" s="25" t="n">
        <f aca="false">O60+O66</f>
        <v>-151028.84942589</v>
      </c>
      <c r="P67" s="25" t="n">
        <f aca="false">P60+P66</f>
        <v>-214511.700533951</v>
      </c>
      <c r="Q67" s="25" t="n">
        <f aca="false">Q60+Q66</f>
        <v>-200882.720495544</v>
      </c>
      <c r="R67" s="25" t="n">
        <f aca="false">R60+R66</f>
        <v>-187410.333017597</v>
      </c>
      <c r="S67" s="25" t="n">
        <f aca="false">S60+S66</f>
        <v>-174092.658989386</v>
      </c>
      <c r="T67" s="25" t="n">
        <f aca="false">T60+T66</f>
        <v>-167594.50851618</v>
      </c>
      <c r="U67" s="25" t="n">
        <f aca="false">U60+U66</f>
        <v>-164134.880648653</v>
      </c>
      <c r="V67" s="25" t="n">
        <f aca="false">V60+V66</f>
        <v>-143711.963115535</v>
      </c>
      <c r="W67" s="25" t="n">
        <f aca="false">W60+W66</f>
        <v>-130994.798726149</v>
      </c>
      <c r="X67" s="25" t="n">
        <f aca="false">X60+X66</f>
        <v>-99956.6184427686</v>
      </c>
      <c r="Y67" s="25" t="n">
        <f aca="false">Y60+Y66</f>
        <v>-124262.341122789</v>
      </c>
      <c r="Z67" s="25" t="n">
        <f aca="false">Z60+Z66</f>
        <v>-95372.7399306486</v>
      </c>
      <c r="AA67" s="25" t="n">
        <f aca="false">AA60+AA66</f>
        <v>-80052.4244896718</v>
      </c>
      <c r="AB67" s="25" t="n">
        <f aca="false">AB60+AB66</f>
        <v>-98777.426137897</v>
      </c>
      <c r="AC67" s="25" t="n">
        <f aca="false">AC60+AC66</f>
        <v>-88932.2005682421</v>
      </c>
      <c r="AD67" s="25" t="n">
        <f aca="false">AD60+AD66</f>
        <v>-73363.8580854234</v>
      </c>
      <c r="AE67" s="25" t="n">
        <f aca="false">AE60+AE66</f>
        <v>-51977.5385923981</v>
      </c>
      <c r="AF67" s="25" t="n">
        <f aca="false">AF60+AF66</f>
        <v>-37500.7094799562</v>
      </c>
      <c r="AG67" s="25" t="n">
        <f aca="false">AG60+AG66</f>
        <v>-23263.7901968632</v>
      </c>
      <c r="AH67" s="25" t="n">
        <f aca="false">AH60+AH66</f>
        <v>10736.0981748324</v>
      </c>
      <c r="AI67" s="25" t="n">
        <f aca="false">AI60+AI66</f>
        <v>26390.9666727345</v>
      </c>
      <c r="AJ67" s="25" t="n">
        <f aca="false">AJ60+AJ66</f>
        <v>76636.9588686617</v>
      </c>
      <c r="AK67" s="25" t="n">
        <f aca="false">AK60+AK66</f>
        <v>31809.3512782379</v>
      </c>
      <c r="AL67" s="25" t="n">
        <f aca="false">AL60+AL66</f>
        <v>72254.0120988988</v>
      </c>
      <c r="AM67" s="25" t="n">
        <f aca="false">AM60+AM66</f>
        <v>90890.5151612141</v>
      </c>
      <c r="AN67" s="25" t="n">
        <f aca="false">AN60+AN66</f>
        <v>58799.8102936201</v>
      </c>
      <c r="AO67" s="25" t="n">
        <f aca="false">AO60+AO66</f>
        <v>80772.9059658769</v>
      </c>
      <c r="AP67" s="25" t="n">
        <f aca="false">AP60+AP66</f>
        <v>108794.362782066</v>
      </c>
      <c r="AQ67" s="25" t="n">
        <f aca="false">AQ60+AQ66</f>
        <v>134668.159908461</v>
      </c>
      <c r="AR67" s="25" t="n">
        <f aca="false">AR60+AR66</f>
        <v>151731.407719673</v>
      </c>
      <c r="AS67" s="25" t="n">
        <f aca="false">AS60+AS66</f>
        <v>168969.754599151</v>
      </c>
      <c r="AT67" s="25" t="n">
        <f aca="false">AT60+AT66</f>
        <v>202721.074983074</v>
      </c>
      <c r="AU67" s="25" t="n">
        <f aca="false">AU60+AU66</f>
        <v>224479.115731057</v>
      </c>
      <c r="AV67" s="25" t="n">
        <f aca="false">AV60+AV66</f>
        <v>309213.871657064</v>
      </c>
      <c r="AW67" s="25" t="n">
        <f aca="false">AW60+AW66</f>
        <v>231109.80480396</v>
      </c>
      <c r="AX67" s="25" t="n">
        <f aca="false">AX60+AX66</f>
        <v>287700.115795092</v>
      </c>
      <c r="AY67" s="25" t="n">
        <f aca="false">AY60+AY66</f>
        <v>320342.389120918</v>
      </c>
      <c r="AZ67" s="25" t="n">
        <f aca="false">AZ60+AZ66</f>
        <v>285157.256801183</v>
      </c>
      <c r="BA67" s="25" t="n">
        <f aca="false">BA60+BA66</f>
        <v>317571.983585289</v>
      </c>
      <c r="BB67" s="25" t="n">
        <f aca="false">BB60+BB66</f>
        <v>349627.839306785</v>
      </c>
      <c r="BC67" s="25" t="n">
        <f aca="false">BC60+BC66</f>
        <v>373023.171043424</v>
      </c>
      <c r="BD67" s="25" t="n">
        <f aca="false">BD60+BD66</f>
        <v>381095.566903856</v>
      </c>
      <c r="BE67" s="25" t="n">
        <f aca="false">BE60+BE66</f>
        <v>403509.223835263</v>
      </c>
      <c r="BF67" s="25" t="n">
        <f aca="false">BF60+BF66</f>
        <v>443656.376361043</v>
      </c>
      <c r="BG67" s="25" t="n">
        <f aca="false">BG60+BG66</f>
        <v>473981.449269481</v>
      </c>
      <c r="BH67" s="25" t="n">
        <f aca="false">BH60+BH66</f>
        <v>597830.084774317</v>
      </c>
      <c r="BI67" s="25" t="n">
        <f aca="false">BI60+BI66</f>
        <v>477206.288418145</v>
      </c>
      <c r="BJ67" s="25" t="n">
        <f aca="false">BJ60+BJ66</f>
        <v>552941.944239548</v>
      </c>
    </row>
    <row r="68" customFormat="false" ht="15" hidden="false" customHeight="false" outlineLevel="0" collapsed="false">
      <c r="A68" s="4" t="s">
        <v>548</v>
      </c>
      <c r="B68" s="4" t="s">
        <v>67</v>
      </c>
      <c r="C68" s="19" t="n">
        <f aca="false">C67</f>
        <v>-41333.3333333333</v>
      </c>
      <c r="D68" s="19" t="n">
        <f aca="false">C68+D67</f>
        <v>-167333.333333333</v>
      </c>
      <c r="E68" s="19" t="n">
        <f aca="false">D68+E67</f>
        <v>-308666.666666667</v>
      </c>
      <c r="F68" s="19" t="n">
        <f aca="false">E68+F67</f>
        <v>-468351.62</v>
      </c>
      <c r="G68" s="19" t="n">
        <f aca="false">F68+G67</f>
        <v>-639004.673893333</v>
      </c>
      <c r="H68" s="19" t="n">
        <f aca="false">G68+H67</f>
        <v>-829857.17903328</v>
      </c>
      <c r="I68" s="19" t="n">
        <f aca="false">H68+I67</f>
        <v>-1009280.07533821</v>
      </c>
      <c r="J68" s="19" t="n">
        <f aca="false">I68+J67</f>
        <v>-1173977.18478082</v>
      </c>
      <c r="K68" s="19" t="n">
        <f aca="false">J68+K67</f>
        <v>-1318985.21680345</v>
      </c>
      <c r="L68" s="19" t="n">
        <f aca="false">K68+L67</f>
        <v>-1461007.10700181</v>
      </c>
      <c r="M68" s="19" t="n">
        <f aca="false">L68+M67</f>
        <v>-1600078.68907779</v>
      </c>
      <c r="N68" s="19" t="n">
        <f aca="false">M68+N67</f>
        <v>-1736235.36672886</v>
      </c>
      <c r="O68" s="19" t="n">
        <f aca="false">N68+O67</f>
        <v>-1887264.21615475</v>
      </c>
      <c r="P68" s="19" t="n">
        <f aca="false">O68+P67</f>
        <v>-2101775.9166887</v>
      </c>
      <c r="Q68" s="19" t="n">
        <f aca="false">P68+Q67</f>
        <v>-2302658.63718424</v>
      </c>
      <c r="R68" s="19" t="n">
        <f aca="false">Q68+R67</f>
        <v>-2490068.97020184</v>
      </c>
      <c r="S68" s="19" t="n">
        <f aca="false">R68+S67</f>
        <v>-2664161.62919122</v>
      </c>
      <c r="T68" s="19" t="n">
        <f aca="false">S68+T67</f>
        <v>-2831756.13770741</v>
      </c>
      <c r="U68" s="19" t="n">
        <f aca="false">T68+U67</f>
        <v>-2995891.01835606</v>
      </c>
      <c r="V68" s="19" t="n">
        <f aca="false">U68+V67</f>
        <v>-3139602.98147159</v>
      </c>
      <c r="W68" s="19" t="n">
        <f aca="false">V68+W67</f>
        <v>-3270597.78019774</v>
      </c>
      <c r="X68" s="19" t="n">
        <f aca="false">W68+X67</f>
        <v>-3370554.39864051</v>
      </c>
      <c r="Y68" s="19" t="n">
        <f aca="false">X68+Y67</f>
        <v>-3494816.7397633</v>
      </c>
      <c r="Z68" s="19" t="n">
        <f aca="false">Y68+Z67</f>
        <v>-3590189.47969395</v>
      </c>
      <c r="AA68" s="19" t="n">
        <f aca="false">Z68+AA67</f>
        <v>-3670241.90418362</v>
      </c>
      <c r="AB68" s="19" t="n">
        <f aca="false">AA68+AB67</f>
        <v>-3769019.33032152</v>
      </c>
      <c r="AC68" s="19" t="n">
        <f aca="false">AB68+AC67</f>
        <v>-3857951.53088976</v>
      </c>
      <c r="AD68" s="19" t="n">
        <f aca="false">AC68+AD67</f>
        <v>-3931315.38897518</v>
      </c>
      <c r="AE68" s="19" t="n">
        <f aca="false">AD68+AE67</f>
        <v>-3983292.92756758</v>
      </c>
      <c r="AF68" s="19" t="n">
        <f aca="false">AE68+AF67</f>
        <v>-4020793.63704754</v>
      </c>
      <c r="AG68" s="19" t="n">
        <f aca="false">AF68+AG67</f>
        <v>-4044057.4272444</v>
      </c>
      <c r="AH68" s="19" t="n">
        <f aca="false">AG68+AH67</f>
        <v>-4033321.32906957</v>
      </c>
      <c r="AI68" s="19" t="n">
        <f aca="false">AH68+AI67</f>
        <v>-4006930.36239683</v>
      </c>
      <c r="AJ68" s="19" t="n">
        <f aca="false">AI68+AJ67</f>
        <v>-3930293.40352817</v>
      </c>
      <c r="AK68" s="19" t="n">
        <f aca="false">AJ68+AK67</f>
        <v>-3898484.05224993</v>
      </c>
      <c r="AL68" s="19" t="n">
        <f aca="false">AK68+AL67</f>
        <v>-3826230.04015103</v>
      </c>
      <c r="AM68" s="19" t="n">
        <f aca="false">AL68+AM67</f>
        <v>-3735339.52498982</v>
      </c>
      <c r="AN68" s="19" t="n">
        <f aca="false">AM68+AN67</f>
        <v>-3676539.7146962</v>
      </c>
      <c r="AO68" s="19" t="n">
        <f aca="false">AN68+AO67</f>
        <v>-3595766.80873032</v>
      </c>
      <c r="AP68" s="19" t="n">
        <f aca="false">AO68+AP67</f>
        <v>-3486972.44594826</v>
      </c>
      <c r="AQ68" s="19" t="n">
        <f aca="false">AP68+AQ67</f>
        <v>-3352304.2860398</v>
      </c>
      <c r="AR68" s="19" t="n">
        <f aca="false">AQ68+AR67</f>
        <v>-3200572.87832012</v>
      </c>
      <c r="AS68" s="19" t="n">
        <f aca="false">AR68+AS67</f>
        <v>-3031603.12372097</v>
      </c>
      <c r="AT68" s="19" t="n">
        <f aca="false">AS68+AT67</f>
        <v>-2828882.0487379</v>
      </c>
      <c r="AU68" s="19" t="n">
        <f aca="false">AT68+AU67</f>
        <v>-2604402.93300684</v>
      </c>
      <c r="AV68" s="19" t="n">
        <f aca="false">AU68+AV67</f>
        <v>-2295189.06134978</v>
      </c>
      <c r="AW68" s="19" t="n">
        <f aca="false">AV68+AW67</f>
        <v>-2064079.25654582</v>
      </c>
      <c r="AX68" s="19" t="n">
        <f aca="false">AW68+AX67</f>
        <v>-1776379.14075072</v>
      </c>
      <c r="AY68" s="19" t="n">
        <f aca="false">AX68+AY67</f>
        <v>-1456036.75162981</v>
      </c>
      <c r="AZ68" s="19" t="n">
        <f aca="false">AY68+AZ67</f>
        <v>-1170879.49482862</v>
      </c>
      <c r="BA68" s="19" t="n">
        <f aca="false">AZ68+BA67</f>
        <v>-853307.511243335</v>
      </c>
      <c r="BB68" s="19" t="n">
        <f aca="false">BA68+BB67</f>
        <v>-503679.671936549</v>
      </c>
      <c r="BC68" s="19" t="n">
        <f aca="false">BB68+BC67</f>
        <v>-130656.500893125</v>
      </c>
      <c r="BD68" s="19" t="n">
        <f aca="false">BC68+BD67</f>
        <v>250439.066010731</v>
      </c>
      <c r="BE68" s="19" t="n">
        <f aca="false">BD68+BE67</f>
        <v>653948.289845994</v>
      </c>
      <c r="BF68" s="19" t="n">
        <f aca="false">BE68+BF67</f>
        <v>1097604.66620704</v>
      </c>
      <c r="BG68" s="19" t="n">
        <f aca="false">BF68+BG67</f>
        <v>1571586.11547652</v>
      </c>
      <c r="BH68" s="19" t="n">
        <f aca="false">BG68+BH67</f>
        <v>2169416.20025084</v>
      </c>
      <c r="BI68" s="19" t="n">
        <f aca="false">BH68+BI67</f>
        <v>2646622.48866898</v>
      </c>
      <c r="BJ68" s="19" t="n">
        <f aca="false">BI68+BJ67</f>
        <v>3199564.43290853</v>
      </c>
    </row>
    <row r="69" customFormat="false" ht="15" hidden="false" customHeight="false" outlineLevel="0" collapsed="false">
      <c r="A69" s="4" t="s">
        <v>549</v>
      </c>
      <c r="B69" s="4" t="s">
        <v>67</v>
      </c>
      <c r="C69" s="19" t="n">
        <f aca="false">ask*(IF(C5=t1m,t1p,0)+IF(C5=t2m,t2p,0)+IF(C5=t3m,t3p,0))</f>
        <v>2115000</v>
      </c>
      <c r="D69" s="19" t="n">
        <f aca="false">ask*(IF(D5=t1m,t1p,0)+IF(D5=t2m,t2p,0)+IF(D5=t3m,t3p,0))</f>
        <v>0</v>
      </c>
      <c r="E69" s="19" t="n">
        <f aca="false">ask*(IF(E5=t1m,t1p,0)+IF(E5=t2m,t2p,0)+IF(E5=t3m,t3p,0))</f>
        <v>0</v>
      </c>
      <c r="F69" s="19" t="n">
        <f aca="false">ask*(IF(F5=t1m,t1p,0)+IF(F5=t2m,t2p,0)+IF(F5=t3m,t3p,0))</f>
        <v>0</v>
      </c>
      <c r="G69" s="19" t="n">
        <f aca="false">ask*(IF(G5=t1m,t1p,0)+IF(G5=t2m,t2p,0)+IF(G5=t3m,t3p,0))</f>
        <v>0</v>
      </c>
      <c r="H69" s="19" t="n">
        <f aca="false">ask*(IF(H5=t1m,t1p,0)+IF(H5=t2m,t2p,0)+IF(H5=t3m,t3p,0))</f>
        <v>0</v>
      </c>
      <c r="I69" s="19" t="n">
        <f aca="false">ask*(IF(I5=t1m,t1p,0)+IF(I5=t2m,t2p,0)+IF(I5=t3m,t3p,0))</f>
        <v>0</v>
      </c>
      <c r="J69" s="19" t="n">
        <f aca="false">ask*(IF(J5=t1m,t1p,0)+IF(J5=t2m,t2p,0)+IF(J5=t3m,t3p,0))</f>
        <v>0</v>
      </c>
      <c r="K69" s="19" t="n">
        <f aca="false">ask*(IF(K5=t1m,t1p,0)+IF(K5=t2m,t2p,0)+IF(K5=t3m,t3p,0))</f>
        <v>0</v>
      </c>
      <c r="L69" s="19" t="n">
        <f aca="false">ask*(IF(L5=t1m,t1p,0)+IF(L5=t2m,t2p,0)+IF(L5=t3m,t3p,0))</f>
        <v>1645000</v>
      </c>
      <c r="M69" s="19" t="n">
        <f aca="false">ask*(IF(M5=t1m,t1p,0)+IF(M5=t2m,t2p,0)+IF(M5=t3m,t3p,0))</f>
        <v>0</v>
      </c>
      <c r="N69" s="19" t="n">
        <f aca="false">ask*(IF(N5=t1m,t1p,0)+IF(N5=t2m,t2p,0)+IF(N5=t3m,t3p,0))</f>
        <v>0</v>
      </c>
      <c r="O69" s="19" t="n">
        <f aca="false">ask*(IF(O5=t1m,t1p,0)+IF(O5=t2m,t2p,0)+IF(O5=t3m,t3p,0))</f>
        <v>0</v>
      </c>
      <c r="P69" s="19" t="n">
        <f aca="false">ask*(IF(P5=t1m,t1p,0)+IF(P5=t2m,t2p,0)+IF(P5=t3m,t3p,0))</f>
        <v>0</v>
      </c>
      <c r="Q69" s="19" t="n">
        <f aca="false">ask*(IF(Q5=t1m,t1p,0)+IF(Q5=t2m,t2p,0)+IF(Q5=t3m,t3p,0))</f>
        <v>0</v>
      </c>
      <c r="R69" s="19" t="n">
        <f aca="false">ask*(IF(R5=t1m,t1p,0)+IF(R5=t2m,t2p,0)+IF(R5=t3m,t3p,0))</f>
        <v>0</v>
      </c>
      <c r="S69" s="19" t="n">
        <f aca="false">ask*(IF(S5=t1m,t1p,0)+IF(S5=t2m,t2p,0)+IF(S5=t3m,t3p,0))</f>
        <v>0</v>
      </c>
      <c r="T69" s="19" t="n">
        <f aca="false">ask*(IF(T5=t1m,t1p,0)+IF(T5=t2m,t2p,0)+IF(T5=t3m,t3p,0))</f>
        <v>0</v>
      </c>
      <c r="U69" s="19" t="n">
        <f aca="false">ask*(IF(U5=t1m,t1p,0)+IF(U5=t2m,t2p,0)+IF(U5=t3m,t3p,0))</f>
        <v>0</v>
      </c>
      <c r="V69" s="19" t="n">
        <f aca="false">ask*(IF(V5=t1m,t1p,0)+IF(V5=t2m,t2p,0)+IF(V5=t3m,t3p,0))</f>
        <v>0</v>
      </c>
      <c r="W69" s="19" t="n">
        <f aca="false">ask*(IF(W5=t1m,t1p,0)+IF(W5=t2m,t2p,0)+IF(W5=t3m,t3p,0))</f>
        <v>0</v>
      </c>
      <c r="X69" s="19" t="n">
        <f aca="false">ask*(IF(X5=t1m,t1p,0)+IF(X5=t2m,t2p,0)+IF(X5=t3m,t3p,0))</f>
        <v>940000</v>
      </c>
      <c r="Y69" s="19" t="n">
        <f aca="false">ask*(IF(Y5=t1m,t1p,0)+IF(Y5=t2m,t2p,0)+IF(Y5=t3m,t3p,0))</f>
        <v>0</v>
      </c>
      <c r="Z69" s="19" t="n">
        <f aca="false">ask*(IF(Z5=t1m,t1p,0)+IF(Z5=t2m,t2p,0)+IF(Z5=t3m,t3p,0))</f>
        <v>0</v>
      </c>
      <c r="AA69" s="19" t="n">
        <f aca="false">ask*(IF(AA5=t1m,t1p,0)+IF(AA5=t2m,t2p,0)+IF(AA5=t3m,t3p,0))</f>
        <v>0</v>
      </c>
      <c r="AB69" s="19" t="n">
        <f aca="false">ask*(IF(AB5=t1m,t1p,0)+IF(AB5=t2m,t2p,0)+IF(AB5=t3m,t3p,0))</f>
        <v>0</v>
      </c>
      <c r="AC69" s="19" t="n">
        <f aca="false">ask*(IF(AC5=t1m,t1p,0)+IF(AC5=t2m,t2p,0)+IF(AC5=t3m,t3p,0))</f>
        <v>0</v>
      </c>
      <c r="AD69" s="19" t="n">
        <f aca="false">ask*(IF(AD5=t1m,t1p,0)+IF(AD5=t2m,t2p,0)+IF(AD5=t3m,t3p,0))</f>
        <v>0</v>
      </c>
      <c r="AE69" s="19" t="n">
        <f aca="false">ask*(IF(AE5=t1m,t1p,0)+IF(AE5=t2m,t2p,0)+IF(AE5=t3m,t3p,0))</f>
        <v>0</v>
      </c>
      <c r="AF69" s="19" t="n">
        <f aca="false">ask*(IF(AF5=t1m,t1p,0)+IF(AF5=t2m,t2p,0)+IF(AF5=t3m,t3p,0))</f>
        <v>0</v>
      </c>
      <c r="AG69" s="19" t="n">
        <f aca="false">ask*(IF(AG5=t1m,t1p,0)+IF(AG5=t2m,t2p,0)+IF(AG5=t3m,t3p,0))</f>
        <v>0</v>
      </c>
      <c r="AH69" s="19" t="n">
        <f aca="false">ask*(IF(AH5=t1m,t1p,0)+IF(AH5=t2m,t2p,0)+IF(AH5=t3m,t3p,0))</f>
        <v>0</v>
      </c>
      <c r="AI69" s="19" t="n">
        <f aca="false">ask*(IF(AI5=t1m,t1p,0)+IF(AI5=t2m,t2p,0)+IF(AI5=t3m,t3p,0))</f>
        <v>0</v>
      </c>
      <c r="AJ69" s="19" t="n">
        <f aca="false">ask*(IF(AJ5=t1m,t1p,0)+IF(AJ5=t2m,t2p,0)+IF(AJ5=t3m,t3p,0))</f>
        <v>0</v>
      </c>
      <c r="AK69" s="19" t="n">
        <f aca="false">ask*(IF(AK5=t1m,t1p,0)+IF(AK5=t2m,t2p,0)+IF(AK5=t3m,t3p,0))</f>
        <v>0</v>
      </c>
      <c r="AL69" s="19" t="n">
        <f aca="false">ask*(IF(AL5=t1m,t1p,0)+IF(AL5=t2m,t2p,0)+IF(AL5=t3m,t3p,0))</f>
        <v>0</v>
      </c>
      <c r="AM69" s="19" t="n">
        <f aca="false">ask*(IF(AM5=t1m,t1p,0)+IF(AM5=t2m,t2p,0)+IF(AM5=t3m,t3p,0))</f>
        <v>0</v>
      </c>
      <c r="AN69" s="19" t="n">
        <f aca="false">ask*(IF(AN5=t1m,t1p,0)+IF(AN5=t2m,t2p,0)+IF(AN5=t3m,t3p,0))</f>
        <v>0</v>
      </c>
      <c r="AO69" s="19" t="n">
        <f aca="false">ask*(IF(AO5=t1m,t1p,0)+IF(AO5=t2m,t2p,0)+IF(AO5=t3m,t3p,0))</f>
        <v>0</v>
      </c>
      <c r="AP69" s="19" t="n">
        <f aca="false">ask*(IF(AP5=t1m,t1p,0)+IF(AP5=t2m,t2p,0)+IF(AP5=t3m,t3p,0))</f>
        <v>0</v>
      </c>
      <c r="AQ69" s="19" t="n">
        <f aca="false">ask*(IF(AQ5=t1m,t1p,0)+IF(AQ5=t2m,t2p,0)+IF(AQ5=t3m,t3p,0))</f>
        <v>0</v>
      </c>
      <c r="AR69" s="19" t="n">
        <f aca="false">ask*(IF(AR5=t1m,t1p,0)+IF(AR5=t2m,t2p,0)+IF(AR5=t3m,t3p,0))</f>
        <v>0</v>
      </c>
      <c r="AS69" s="19" t="n">
        <f aca="false">ask*(IF(AS5=t1m,t1p,0)+IF(AS5=t2m,t2p,0)+IF(AS5=t3m,t3p,0))</f>
        <v>0</v>
      </c>
      <c r="AT69" s="19" t="n">
        <f aca="false">ask*(IF(AT5=t1m,t1p,0)+IF(AT5=t2m,t2p,0)+IF(AT5=t3m,t3p,0))</f>
        <v>0</v>
      </c>
      <c r="AU69" s="19" t="n">
        <f aca="false">ask*(IF(AU5=t1m,t1p,0)+IF(AU5=t2m,t2p,0)+IF(AU5=t3m,t3p,0))</f>
        <v>0</v>
      </c>
      <c r="AV69" s="19" t="n">
        <f aca="false">ask*(IF(AV5=t1m,t1p,0)+IF(AV5=t2m,t2p,0)+IF(AV5=t3m,t3p,0))</f>
        <v>0</v>
      </c>
      <c r="AW69" s="19" t="n">
        <f aca="false">ask*(IF(AW5=t1m,t1p,0)+IF(AW5=t2m,t2p,0)+IF(AW5=t3m,t3p,0))</f>
        <v>0</v>
      </c>
      <c r="AX69" s="19" t="n">
        <f aca="false">ask*(IF(AX5=t1m,t1p,0)+IF(AX5=t2m,t2p,0)+IF(AX5=t3m,t3p,0))</f>
        <v>0</v>
      </c>
      <c r="AY69" s="19" t="n">
        <f aca="false">ask*(IF(AY5=t1m,t1p,0)+IF(AY5=t2m,t2p,0)+IF(AY5=t3m,t3p,0))</f>
        <v>0</v>
      </c>
      <c r="AZ69" s="19" t="n">
        <f aca="false">ask*(IF(AZ5=t1m,t1p,0)+IF(AZ5=t2m,t2p,0)+IF(AZ5=t3m,t3p,0))</f>
        <v>0</v>
      </c>
      <c r="BA69" s="19" t="n">
        <f aca="false">ask*(IF(BA5=t1m,t1p,0)+IF(BA5=t2m,t2p,0)+IF(BA5=t3m,t3p,0))</f>
        <v>0</v>
      </c>
      <c r="BB69" s="19" t="n">
        <f aca="false">ask*(IF(BB5=t1m,t1p,0)+IF(BB5=t2m,t2p,0)+IF(BB5=t3m,t3p,0))</f>
        <v>0</v>
      </c>
      <c r="BC69" s="19" t="n">
        <f aca="false">ask*(IF(BC5=t1m,t1p,0)+IF(BC5=t2m,t2p,0)+IF(BC5=t3m,t3p,0))</f>
        <v>0</v>
      </c>
      <c r="BD69" s="19" t="n">
        <f aca="false">ask*(IF(BD5=t1m,t1p,0)+IF(BD5=t2m,t2p,0)+IF(BD5=t3m,t3p,0))</f>
        <v>0</v>
      </c>
      <c r="BE69" s="19" t="n">
        <f aca="false">ask*(IF(BE5=t1m,t1p,0)+IF(BE5=t2m,t2p,0)+IF(BE5=t3m,t3p,0))</f>
        <v>0</v>
      </c>
      <c r="BF69" s="19" t="n">
        <f aca="false">ask*(IF(BF5=t1m,t1p,0)+IF(BF5=t2m,t2p,0)+IF(BF5=t3m,t3p,0))</f>
        <v>0</v>
      </c>
      <c r="BG69" s="19" t="n">
        <f aca="false">ask*(IF(BG5=t1m,t1p,0)+IF(BG5=t2m,t2p,0)+IF(BG5=t3m,t3p,0))</f>
        <v>0</v>
      </c>
      <c r="BH69" s="19" t="n">
        <f aca="false">ask*(IF(BH5=t1m,t1p,0)+IF(BH5=t2m,t2p,0)+IF(BH5=t3m,t3p,0))</f>
        <v>0</v>
      </c>
      <c r="BI69" s="19" t="n">
        <f aca="false">ask*(IF(BI5=t1m,t1p,0)+IF(BI5=t2m,t2p,0)+IF(BI5=t3m,t3p,0))</f>
        <v>0</v>
      </c>
      <c r="BJ69" s="19" t="n">
        <f aca="false">ask*(IF(BJ5=t1m,t1p,0)+IF(BJ5=t2m,t2p,0)+IF(BJ5=t3m,t3p,0))</f>
        <v>0</v>
      </c>
    </row>
    <row r="70" customFormat="false" ht="15" hidden="false" customHeight="false" outlineLevel="0" collapsed="false">
      <c r="A70" s="5" t="s">
        <v>550</v>
      </c>
      <c r="B70" s="4" t="s">
        <v>67</v>
      </c>
      <c r="C70" s="25" t="n">
        <f aca="false">C67+C69</f>
        <v>2073666.66666667</v>
      </c>
      <c r="D70" s="25" t="n">
        <f aca="false">C70+D67+D69</f>
        <v>1947666.66666667</v>
      </c>
      <c r="E70" s="25" t="n">
        <f aca="false">D70+E67+E69</f>
        <v>1806333.33333333</v>
      </c>
      <c r="F70" s="25" t="n">
        <f aca="false">E70+F67+F69</f>
        <v>1646648.38</v>
      </c>
      <c r="G70" s="25" t="n">
        <f aca="false">F70+G67+G69</f>
        <v>1475995.32610667</v>
      </c>
      <c r="H70" s="25" t="n">
        <f aca="false">G70+H67+H69</f>
        <v>1285142.82096672</v>
      </c>
      <c r="I70" s="25" t="n">
        <f aca="false">H70+I67+I69</f>
        <v>1105719.92466179</v>
      </c>
      <c r="J70" s="25" t="n">
        <f aca="false">I70+J67+J69</f>
        <v>941022.815219178</v>
      </c>
      <c r="K70" s="25" t="n">
        <f aca="false">J70+K67+K69</f>
        <v>796014.783196548</v>
      </c>
      <c r="L70" s="25" t="n">
        <f aca="false">K70+L67+L69</f>
        <v>2298992.89299819</v>
      </c>
      <c r="M70" s="25" t="n">
        <f aca="false">L70+M67+M69</f>
        <v>2159921.31092221</v>
      </c>
      <c r="N70" s="25" t="n">
        <f aca="false">M70+N67+N69</f>
        <v>2023764.63327114</v>
      </c>
      <c r="O70" s="25" t="n">
        <f aca="false">N70+O67+O69</f>
        <v>1872735.78384525</v>
      </c>
      <c r="P70" s="25" t="n">
        <f aca="false">O70+P67+P69</f>
        <v>1658224.0833113</v>
      </c>
      <c r="Q70" s="25" t="n">
        <f aca="false">P70+Q67+Q69</f>
        <v>1457341.36281576</v>
      </c>
      <c r="R70" s="25" t="n">
        <f aca="false">Q70+R67+R69</f>
        <v>1269931.02979816</v>
      </c>
      <c r="S70" s="25" t="n">
        <f aca="false">R70+S67+S69</f>
        <v>1095838.37080878</v>
      </c>
      <c r="T70" s="25" t="n">
        <f aca="false">S70+T67+T69</f>
        <v>928243.862292596</v>
      </c>
      <c r="U70" s="25" t="n">
        <f aca="false">T70+U67+U69</f>
        <v>764108.981643943</v>
      </c>
      <c r="V70" s="25" t="n">
        <f aca="false">U70+V67+V69</f>
        <v>620397.018528408</v>
      </c>
      <c r="W70" s="25" t="n">
        <f aca="false">V70+W67+W69</f>
        <v>489402.219802259</v>
      </c>
      <c r="X70" s="25" t="n">
        <f aca="false">W70+X67+X69</f>
        <v>1329445.60135949</v>
      </c>
      <c r="Y70" s="25" t="n">
        <f aca="false">X70+Y67+Y69</f>
        <v>1205183.2602367</v>
      </c>
      <c r="Z70" s="25" t="n">
        <f aca="false">Y70+Z67+Z69</f>
        <v>1109810.52030605</v>
      </c>
      <c r="AA70" s="25" t="n">
        <f aca="false">Z70+AA67+AA69</f>
        <v>1029758.09581638</v>
      </c>
      <c r="AB70" s="25" t="n">
        <f aca="false">AA70+AB67+AB69</f>
        <v>930980.669678484</v>
      </c>
      <c r="AC70" s="25" t="n">
        <f aca="false">AB70+AC67+AC69</f>
        <v>842048.469110242</v>
      </c>
      <c r="AD70" s="25" t="n">
        <f aca="false">AC70+AD67+AD69</f>
        <v>768684.611024819</v>
      </c>
      <c r="AE70" s="25" t="n">
        <f aca="false">AD70+AE67+AE69</f>
        <v>716707.072432421</v>
      </c>
      <c r="AF70" s="25" t="n">
        <f aca="false">AE70+AF67+AF69</f>
        <v>679206.362952464</v>
      </c>
      <c r="AG70" s="25" t="n">
        <f aca="false">AF70+AG67+AG69</f>
        <v>655942.572755601</v>
      </c>
      <c r="AH70" s="25" t="n">
        <f aca="false">AG70+AH67+AH69</f>
        <v>666678.670930434</v>
      </c>
      <c r="AI70" s="25" t="n">
        <f aca="false">AH70+AI67+AI69</f>
        <v>693069.637603168</v>
      </c>
      <c r="AJ70" s="25" t="n">
        <f aca="false">AI70+AJ67+AJ69</f>
        <v>769706.59647183</v>
      </c>
      <c r="AK70" s="25" t="n">
        <f aca="false">AJ70+AK67+AK69</f>
        <v>801515.947750068</v>
      </c>
      <c r="AL70" s="25" t="n">
        <f aca="false">AK70+AL67+AL69</f>
        <v>873769.959848966</v>
      </c>
      <c r="AM70" s="25" t="n">
        <f aca="false">AL70+AM67+AM69</f>
        <v>964660.475010181</v>
      </c>
      <c r="AN70" s="25" t="n">
        <f aca="false">AM70+AN67+AN69</f>
        <v>1023460.2853038</v>
      </c>
      <c r="AO70" s="25" t="n">
        <f aca="false">AN70+AO67+AO69</f>
        <v>1104233.19126968</v>
      </c>
      <c r="AP70" s="25" t="n">
        <f aca="false">AO70+AP67+AP69</f>
        <v>1213027.55405174</v>
      </c>
      <c r="AQ70" s="25" t="n">
        <f aca="false">AP70+AQ67+AQ69</f>
        <v>1347695.71396021</v>
      </c>
      <c r="AR70" s="25" t="n">
        <f aca="false">AQ70+AR67+AR69</f>
        <v>1499427.12167988</v>
      </c>
      <c r="AS70" s="25" t="n">
        <f aca="false">AR70+AS67+AS69</f>
        <v>1668396.87627903</v>
      </c>
      <c r="AT70" s="25" t="n">
        <f aca="false">AS70+AT67+AT69</f>
        <v>1871117.9512621</v>
      </c>
      <c r="AU70" s="25" t="n">
        <f aca="false">AT70+AU67+AU69</f>
        <v>2095597.06699316</v>
      </c>
      <c r="AV70" s="25" t="n">
        <f aca="false">AU70+AV67+AV69</f>
        <v>2404810.93865022</v>
      </c>
      <c r="AW70" s="25" t="n">
        <f aca="false">AV70+AW67+AW69</f>
        <v>2635920.74345418</v>
      </c>
      <c r="AX70" s="25" t="n">
        <f aca="false">AW70+AX67+AX69</f>
        <v>2923620.85924928</v>
      </c>
      <c r="AY70" s="25" t="n">
        <f aca="false">AX70+AY67+AY69</f>
        <v>3243963.2483702</v>
      </c>
      <c r="AZ70" s="25" t="n">
        <f aca="false">AY70+AZ67+AZ69</f>
        <v>3529120.50517138</v>
      </c>
      <c r="BA70" s="25" t="n">
        <f aca="false">AZ70+BA67+BA69</f>
        <v>3846692.48875667</v>
      </c>
      <c r="BB70" s="25" t="n">
        <f aca="false">BA70+BB67+BB69</f>
        <v>4196320.32806345</v>
      </c>
      <c r="BC70" s="25" t="n">
        <f aca="false">BB70+BC67+BC69</f>
        <v>4569343.49910688</v>
      </c>
      <c r="BD70" s="25" t="n">
        <f aca="false">BC70+BD67+BD69</f>
        <v>4950439.06601073</v>
      </c>
      <c r="BE70" s="25" t="n">
        <f aca="false">BD70+BE67+BE69</f>
        <v>5353948.289846</v>
      </c>
      <c r="BF70" s="25" t="n">
        <f aca="false">BE70+BF67+BF69</f>
        <v>5797604.66620704</v>
      </c>
      <c r="BG70" s="25" t="n">
        <f aca="false">BF70+BG67+BG69</f>
        <v>6271586.11547652</v>
      </c>
      <c r="BH70" s="25" t="n">
        <f aca="false">BG70+BH67+BH69</f>
        <v>6869416.20025084</v>
      </c>
      <c r="BI70" s="25" t="n">
        <f aca="false">BH70+BI67+BI69</f>
        <v>7346622.48866898</v>
      </c>
      <c r="BJ70" s="25" t="n">
        <f aca="false">BI70+BJ67+BJ69</f>
        <v>7899564.43290853</v>
      </c>
    </row>
    <row r="71" customFormat="false" ht="15" hidden="false" customHeight="false" outlineLevel="0" collapsed="false">
      <c r="A71" s="4" t="s">
        <v>551</v>
      </c>
      <c r="B71" s="4" t="s">
        <v>552</v>
      </c>
      <c r="C71" s="19" t="n">
        <f aca="false">IF(C60&gt;0,1,0)</f>
        <v>0</v>
      </c>
      <c r="D71" s="19" t="n">
        <f aca="false">IF(D60&gt;0,1,0)</f>
        <v>0</v>
      </c>
      <c r="E71" s="19" t="n">
        <f aca="false">IF(E60&gt;0,1,0)</f>
        <v>0</v>
      </c>
      <c r="F71" s="19" t="n">
        <f aca="false">IF(F60&gt;0,1,0)</f>
        <v>0</v>
      </c>
      <c r="G71" s="19" t="n">
        <f aca="false">IF(G60&gt;0,1,0)</f>
        <v>0</v>
      </c>
      <c r="H71" s="19" t="n">
        <f aca="false">IF(H60&gt;0,1,0)</f>
        <v>0</v>
      </c>
      <c r="I71" s="19" t="n">
        <f aca="false">IF(I60&gt;0,1,0)</f>
        <v>0</v>
      </c>
      <c r="J71" s="19" t="n">
        <f aca="false">IF(J60&gt;0,1,0)</f>
        <v>0</v>
      </c>
      <c r="K71" s="19" t="n">
        <f aca="false">IF(K60&gt;0,1,0)</f>
        <v>0</v>
      </c>
      <c r="L71" s="19" t="n">
        <f aca="false">IF(L60&gt;0,1,0)</f>
        <v>0</v>
      </c>
      <c r="M71" s="19" t="n">
        <f aca="false">IF(M60&gt;0,1,0)</f>
        <v>0</v>
      </c>
      <c r="N71" s="19" t="n">
        <f aca="false">IF(N60&gt;0,1,0)</f>
        <v>0</v>
      </c>
      <c r="O71" s="19" t="n">
        <f aca="false">IF(O60&gt;0,1,0)</f>
        <v>0</v>
      </c>
      <c r="P71" s="19" t="n">
        <f aca="false">IF(P60&gt;0,1,0)</f>
        <v>0</v>
      </c>
      <c r="Q71" s="19" t="n">
        <f aca="false">IF(Q60&gt;0,1,0)</f>
        <v>0</v>
      </c>
      <c r="R71" s="19" t="n">
        <f aca="false">IF(R60&gt;0,1,0)</f>
        <v>0</v>
      </c>
      <c r="S71" s="19" t="n">
        <f aca="false">IF(S60&gt;0,1,0)</f>
        <v>0</v>
      </c>
      <c r="T71" s="19" t="n">
        <f aca="false">IF(T60&gt;0,1,0)</f>
        <v>0</v>
      </c>
      <c r="U71" s="19" t="n">
        <f aca="false">IF(U60&gt;0,1,0)</f>
        <v>0</v>
      </c>
      <c r="V71" s="19" t="n">
        <f aca="false">IF(V60&gt;0,1,0)</f>
        <v>0</v>
      </c>
      <c r="W71" s="19" t="n">
        <f aca="false">IF(W60&gt;0,1,0)</f>
        <v>0</v>
      </c>
      <c r="X71" s="19" t="n">
        <f aca="false">IF(X60&gt;0,1,0)</f>
        <v>0</v>
      </c>
      <c r="Y71" s="19" t="n">
        <f aca="false">IF(Y60&gt;0,1,0)</f>
        <v>0</v>
      </c>
      <c r="Z71" s="19" t="n">
        <f aca="false">IF(Z60&gt;0,1,0)</f>
        <v>0</v>
      </c>
      <c r="AA71" s="19" t="n">
        <f aca="false">IF(AA60&gt;0,1,0)</f>
        <v>0</v>
      </c>
      <c r="AB71" s="19" t="n">
        <f aca="false">IF(AB60&gt;0,1,0)</f>
        <v>0</v>
      </c>
      <c r="AC71" s="19" t="n">
        <f aca="false">IF(AC60&gt;0,1,0)</f>
        <v>0</v>
      </c>
      <c r="AD71" s="19" t="n">
        <f aca="false">IF(AD60&gt;0,1,0)</f>
        <v>0</v>
      </c>
      <c r="AE71" s="19" t="n">
        <f aca="false">IF(AE60&gt;0,1,0)</f>
        <v>0</v>
      </c>
      <c r="AF71" s="19" t="n">
        <f aca="false">IF(AF60&gt;0,1,0)</f>
        <v>0</v>
      </c>
      <c r="AG71" s="19" t="n">
        <f aca="false">IF(AG60&gt;0,1,0)</f>
        <v>0</v>
      </c>
      <c r="AH71" s="19" t="n">
        <f aca="false">IF(AH60&gt;0,1,0)</f>
        <v>1</v>
      </c>
      <c r="AI71" s="19" t="n">
        <f aca="false">IF(AI60&gt;0,1,0)</f>
        <v>1</v>
      </c>
      <c r="AJ71" s="19" t="n">
        <f aca="false">IF(AJ60&gt;0,1,0)</f>
        <v>1</v>
      </c>
      <c r="AK71" s="19" t="n">
        <f aca="false">IF(AK60&gt;0,1,0)</f>
        <v>1</v>
      </c>
      <c r="AL71" s="19" t="n">
        <f aca="false">IF(AL60&gt;0,1,0)</f>
        <v>1</v>
      </c>
      <c r="AM71" s="19" t="n">
        <f aca="false">IF(AM60&gt;0,1,0)</f>
        <v>1</v>
      </c>
      <c r="AN71" s="19" t="n">
        <f aca="false">IF(AN60&gt;0,1,0)</f>
        <v>1</v>
      </c>
      <c r="AO71" s="19" t="n">
        <f aca="false">IF(AO60&gt;0,1,0)</f>
        <v>1</v>
      </c>
      <c r="AP71" s="19" t="n">
        <f aca="false">IF(AP60&gt;0,1,0)</f>
        <v>1</v>
      </c>
      <c r="AQ71" s="19" t="n">
        <f aca="false">IF(AQ60&gt;0,1,0)</f>
        <v>1</v>
      </c>
      <c r="AR71" s="19" t="n">
        <f aca="false">IF(AR60&gt;0,1,0)</f>
        <v>1</v>
      </c>
      <c r="AS71" s="19" t="n">
        <f aca="false">IF(AS60&gt;0,1,0)</f>
        <v>1</v>
      </c>
      <c r="AT71" s="19" t="n">
        <f aca="false">IF(AT60&gt;0,1,0)</f>
        <v>1</v>
      </c>
      <c r="AU71" s="19" t="n">
        <f aca="false">IF(AU60&gt;0,1,0)</f>
        <v>1</v>
      </c>
      <c r="AV71" s="19" t="n">
        <f aca="false">IF(AV60&gt;0,1,0)</f>
        <v>1</v>
      </c>
      <c r="AW71" s="19" t="n">
        <f aca="false">IF(AW60&gt;0,1,0)</f>
        <v>1</v>
      </c>
      <c r="AX71" s="19" t="n">
        <f aca="false">IF(AX60&gt;0,1,0)</f>
        <v>1</v>
      </c>
      <c r="AY71" s="19" t="n">
        <f aca="false">IF(AY60&gt;0,1,0)</f>
        <v>1</v>
      </c>
      <c r="AZ71" s="19" t="n">
        <f aca="false">IF(AZ60&gt;0,1,0)</f>
        <v>1</v>
      </c>
      <c r="BA71" s="19" t="n">
        <f aca="false">IF(BA60&gt;0,1,0)</f>
        <v>1</v>
      </c>
      <c r="BB71" s="19" t="n">
        <f aca="false">IF(BB60&gt;0,1,0)</f>
        <v>1</v>
      </c>
      <c r="BC71" s="19" t="n">
        <f aca="false">IF(BC60&gt;0,1,0)</f>
        <v>1</v>
      </c>
      <c r="BD71" s="19" t="n">
        <f aca="false">IF(BD60&gt;0,1,0)</f>
        <v>1</v>
      </c>
      <c r="BE71" s="19" t="n">
        <f aca="false">IF(BE60&gt;0,1,0)</f>
        <v>1</v>
      </c>
      <c r="BF71" s="19" t="n">
        <f aca="false">IF(BF60&gt;0,1,0)</f>
        <v>1</v>
      </c>
      <c r="BG71" s="19" t="n">
        <f aca="false">IF(BG60&gt;0,1,0)</f>
        <v>1</v>
      </c>
      <c r="BH71" s="19" t="n">
        <f aca="false">IF(BH60&gt;0,1,0)</f>
        <v>1</v>
      </c>
      <c r="BI71" s="19" t="n">
        <f aca="false">IF(BI60&gt;0,1,0)</f>
        <v>1</v>
      </c>
      <c r="BJ71" s="19" t="n">
        <f aca="false">IF(BJ60&gt;0,1,0)</f>
        <v>1</v>
      </c>
    </row>
    <row r="72" customFormat="false" ht="15" hidden="false" customHeight="false" outlineLevel="0" collapsed="false">
      <c r="A72" s="4" t="s">
        <v>553</v>
      </c>
      <c r="B72" s="4" t="s">
        <v>552</v>
      </c>
      <c r="C72" s="19" t="n">
        <f aca="false">IF(AND(C68&gt;=0,C5&gt;Retornos!$B$8),1,0)</f>
        <v>0</v>
      </c>
      <c r="D72" s="19" t="n">
        <f aca="false">IF(AND(D68&gt;=0,D5&gt;Retornos!$B$8),1,0)</f>
        <v>0</v>
      </c>
      <c r="E72" s="19" t="n">
        <f aca="false">IF(AND(E68&gt;=0,E5&gt;Retornos!$B$8),1,0)</f>
        <v>0</v>
      </c>
      <c r="F72" s="19" t="n">
        <f aca="false">IF(AND(F68&gt;=0,F5&gt;Retornos!$B$8),1,0)</f>
        <v>0</v>
      </c>
      <c r="G72" s="19" t="n">
        <f aca="false">IF(AND(G68&gt;=0,G5&gt;Retornos!$B$8),1,0)</f>
        <v>0</v>
      </c>
      <c r="H72" s="19" t="n">
        <f aca="false">IF(AND(H68&gt;=0,H5&gt;Retornos!$B$8),1,0)</f>
        <v>0</v>
      </c>
      <c r="I72" s="19" t="n">
        <f aca="false">IF(AND(I68&gt;=0,I5&gt;Retornos!$B$8),1,0)</f>
        <v>0</v>
      </c>
      <c r="J72" s="19" t="n">
        <f aca="false">IF(AND(J68&gt;=0,J5&gt;Retornos!$B$8),1,0)</f>
        <v>0</v>
      </c>
      <c r="K72" s="19" t="n">
        <f aca="false">IF(AND(K68&gt;=0,K5&gt;Retornos!$B$8),1,0)</f>
        <v>0</v>
      </c>
      <c r="L72" s="19" t="n">
        <f aca="false">IF(AND(L68&gt;=0,L5&gt;Retornos!$B$8),1,0)</f>
        <v>0</v>
      </c>
      <c r="M72" s="19" t="n">
        <f aca="false">IF(AND(M68&gt;=0,M5&gt;Retornos!$B$8),1,0)</f>
        <v>0</v>
      </c>
      <c r="N72" s="19" t="n">
        <f aca="false">IF(AND(N68&gt;=0,N5&gt;Retornos!$B$8),1,0)</f>
        <v>0</v>
      </c>
      <c r="O72" s="19" t="n">
        <f aca="false">IF(AND(O68&gt;=0,O5&gt;Retornos!$B$8),1,0)</f>
        <v>0</v>
      </c>
      <c r="P72" s="19" t="n">
        <f aca="false">IF(AND(P68&gt;=0,P5&gt;Retornos!$B$8),1,0)</f>
        <v>0</v>
      </c>
      <c r="Q72" s="19" t="n">
        <f aca="false">IF(AND(Q68&gt;=0,Q5&gt;Retornos!$B$8),1,0)</f>
        <v>0</v>
      </c>
      <c r="R72" s="19" t="n">
        <f aca="false">IF(AND(R68&gt;=0,R5&gt;Retornos!$B$8),1,0)</f>
        <v>0</v>
      </c>
      <c r="S72" s="19" t="n">
        <f aca="false">IF(AND(S68&gt;=0,S5&gt;Retornos!$B$8),1,0)</f>
        <v>0</v>
      </c>
      <c r="T72" s="19" t="n">
        <f aca="false">IF(AND(T68&gt;=0,T5&gt;Retornos!$B$8),1,0)</f>
        <v>0</v>
      </c>
      <c r="U72" s="19" t="n">
        <f aca="false">IF(AND(U68&gt;=0,U5&gt;Retornos!$B$8),1,0)</f>
        <v>0</v>
      </c>
      <c r="V72" s="19" t="n">
        <f aca="false">IF(AND(V68&gt;=0,V5&gt;Retornos!$B$8),1,0)</f>
        <v>0</v>
      </c>
      <c r="W72" s="19" t="n">
        <f aca="false">IF(AND(W68&gt;=0,W5&gt;Retornos!$B$8),1,0)</f>
        <v>0</v>
      </c>
      <c r="X72" s="19" t="n">
        <f aca="false">IF(AND(X68&gt;=0,X5&gt;Retornos!$B$8),1,0)</f>
        <v>0</v>
      </c>
      <c r="Y72" s="19" t="n">
        <f aca="false">IF(AND(Y68&gt;=0,Y5&gt;Retornos!$B$8),1,0)</f>
        <v>0</v>
      </c>
      <c r="Z72" s="19" t="n">
        <f aca="false">IF(AND(Z68&gt;=0,Z5&gt;Retornos!$B$8),1,0)</f>
        <v>0</v>
      </c>
      <c r="AA72" s="19" t="n">
        <f aca="false">IF(AND(AA68&gt;=0,AA5&gt;Retornos!$B$8),1,0)</f>
        <v>0</v>
      </c>
      <c r="AB72" s="19" t="n">
        <f aca="false">IF(AND(AB68&gt;=0,AB5&gt;Retornos!$B$8),1,0)</f>
        <v>0</v>
      </c>
      <c r="AC72" s="19" t="n">
        <f aca="false">IF(AND(AC68&gt;=0,AC5&gt;Retornos!$B$8),1,0)</f>
        <v>0</v>
      </c>
      <c r="AD72" s="19" t="n">
        <f aca="false">IF(AND(AD68&gt;=0,AD5&gt;Retornos!$B$8),1,0)</f>
        <v>0</v>
      </c>
      <c r="AE72" s="19" t="n">
        <f aca="false">IF(AND(AE68&gt;=0,AE5&gt;Retornos!$B$8),1,0)</f>
        <v>0</v>
      </c>
      <c r="AF72" s="19" t="n">
        <f aca="false">IF(AND(AF68&gt;=0,AF5&gt;Retornos!$B$8),1,0)</f>
        <v>0</v>
      </c>
      <c r="AG72" s="19" t="n">
        <f aca="false">IF(AND(AG68&gt;=0,AG5&gt;Retornos!$B$8),1,0)</f>
        <v>0</v>
      </c>
      <c r="AH72" s="19" t="n">
        <f aca="false">IF(AND(AH68&gt;=0,AH5&gt;Retornos!$B$8),1,0)</f>
        <v>0</v>
      </c>
      <c r="AI72" s="19" t="n">
        <f aca="false">IF(AND(AI68&gt;=0,AI5&gt;Retornos!$B$8),1,0)</f>
        <v>0</v>
      </c>
      <c r="AJ72" s="19" t="n">
        <f aca="false">IF(AND(AJ68&gt;=0,AJ5&gt;Retornos!$B$8),1,0)</f>
        <v>0</v>
      </c>
      <c r="AK72" s="19" t="n">
        <f aca="false">IF(AND(AK68&gt;=0,AK5&gt;Retornos!$B$8),1,0)</f>
        <v>0</v>
      </c>
      <c r="AL72" s="19" t="n">
        <f aca="false">IF(AND(AL68&gt;=0,AL5&gt;Retornos!$B$8),1,0)</f>
        <v>0</v>
      </c>
      <c r="AM72" s="19" t="n">
        <f aca="false">IF(AND(AM68&gt;=0,AM5&gt;Retornos!$B$8),1,0)</f>
        <v>0</v>
      </c>
      <c r="AN72" s="19" t="n">
        <f aca="false">IF(AND(AN68&gt;=0,AN5&gt;Retornos!$B$8),1,0)</f>
        <v>0</v>
      </c>
      <c r="AO72" s="19" t="n">
        <f aca="false">IF(AND(AO68&gt;=0,AO5&gt;Retornos!$B$8),1,0)</f>
        <v>0</v>
      </c>
      <c r="AP72" s="19" t="n">
        <f aca="false">IF(AND(AP68&gt;=0,AP5&gt;Retornos!$B$8),1,0)</f>
        <v>0</v>
      </c>
      <c r="AQ72" s="19" t="n">
        <f aca="false">IF(AND(AQ68&gt;=0,AQ5&gt;Retornos!$B$8),1,0)</f>
        <v>0</v>
      </c>
      <c r="AR72" s="19" t="n">
        <f aca="false">IF(AND(AR68&gt;=0,AR5&gt;Retornos!$B$8),1,0)</f>
        <v>0</v>
      </c>
      <c r="AS72" s="19" t="n">
        <f aca="false">IF(AND(AS68&gt;=0,AS5&gt;Retornos!$B$8),1,0)</f>
        <v>0</v>
      </c>
      <c r="AT72" s="19" t="n">
        <f aca="false">IF(AND(AT68&gt;=0,AT5&gt;Retornos!$B$8),1,0)</f>
        <v>0</v>
      </c>
      <c r="AU72" s="19" t="n">
        <f aca="false">IF(AND(AU68&gt;=0,AU5&gt;Retornos!$B$8),1,0)</f>
        <v>0</v>
      </c>
      <c r="AV72" s="19" t="n">
        <f aca="false">IF(AND(AV68&gt;=0,AV5&gt;Retornos!$B$8),1,0)</f>
        <v>0</v>
      </c>
      <c r="AW72" s="19" t="n">
        <f aca="false">IF(AND(AW68&gt;=0,AW5&gt;Retornos!$B$8),1,0)</f>
        <v>0</v>
      </c>
      <c r="AX72" s="19" t="n">
        <f aca="false">IF(AND(AX68&gt;=0,AX5&gt;Retornos!$B$8),1,0)</f>
        <v>0</v>
      </c>
      <c r="AY72" s="19" t="n">
        <f aca="false">IF(AND(AY68&gt;=0,AY5&gt;Retornos!$B$8),1,0)</f>
        <v>0</v>
      </c>
      <c r="AZ72" s="19" t="n">
        <f aca="false">IF(AND(AZ68&gt;=0,AZ5&gt;Retornos!$B$8),1,0)</f>
        <v>0</v>
      </c>
      <c r="BA72" s="19" t="n">
        <f aca="false">IF(AND(BA68&gt;=0,BA5&gt;Retornos!$B$8),1,0)</f>
        <v>0</v>
      </c>
      <c r="BB72" s="19" t="n">
        <f aca="false">IF(AND(BB68&gt;=0,BB5&gt;Retornos!$B$8),1,0)</f>
        <v>0</v>
      </c>
      <c r="BC72" s="19" t="n">
        <f aca="false">IF(AND(BC68&gt;=0,BC5&gt;Retornos!$B$8),1,0)</f>
        <v>0</v>
      </c>
      <c r="BD72" s="19" t="n">
        <f aca="false">IF(AND(BD68&gt;=0,BD5&gt;Retornos!$B$8),1,0)</f>
        <v>1</v>
      </c>
      <c r="BE72" s="19" t="n">
        <f aca="false">IF(AND(BE68&gt;=0,BE5&gt;Retornos!$B$8),1,0)</f>
        <v>1</v>
      </c>
      <c r="BF72" s="19" t="n">
        <f aca="false">IF(AND(BF68&gt;=0,BF5&gt;Retornos!$B$8),1,0)</f>
        <v>1</v>
      </c>
      <c r="BG72" s="19" t="n">
        <f aca="false">IF(AND(BG68&gt;=0,BG5&gt;Retornos!$B$8),1,0)</f>
        <v>1</v>
      </c>
      <c r="BH72" s="19" t="n">
        <f aca="false">IF(AND(BH68&gt;=0,BH5&gt;Retornos!$B$8),1,0)</f>
        <v>1</v>
      </c>
      <c r="BI72" s="19" t="n">
        <f aca="false">IF(AND(BI68&gt;=0,BI5&gt;Retornos!$B$8),1,0)</f>
        <v>1</v>
      </c>
      <c r="BJ72" s="19" t="n">
        <f aca="false">IF(AND(BJ68&gt;=0,BJ5&gt;Retornos!$B$8),1,0)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554</v>
      </c>
    </row>
    <row r="3" customFormat="false" ht="15" hidden="false" customHeight="false" outlineLevel="0" collapsed="false">
      <c r="A3" s="6" t="s">
        <v>437</v>
      </c>
      <c r="B3" s="6" t="s">
        <v>555</v>
      </c>
      <c r="C3" s="6" t="s">
        <v>556</v>
      </c>
    </row>
    <row r="4" customFormat="false" ht="15" hidden="false" customHeight="false" outlineLevel="0" collapsed="false">
      <c r="A4" s="3" t="s">
        <v>504</v>
      </c>
      <c r="B4" s="3" t="s">
        <v>557</v>
      </c>
      <c r="C4" s="3" t="s">
        <v>558</v>
      </c>
    </row>
    <row r="5" customFormat="false" ht="15" hidden="false" customHeight="false" outlineLevel="0" collapsed="false">
      <c r="A5" s="3" t="s">
        <v>559</v>
      </c>
      <c r="B5" s="3" t="s">
        <v>560</v>
      </c>
      <c r="C5" s="3" t="s">
        <v>561</v>
      </c>
    </row>
    <row r="6" customFormat="false" ht="15" hidden="false" customHeight="false" outlineLevel="0" collapsed="false">
      <c r="A6" s="3" t="s">
        <v>328</v>
      </c>
      <c r="B6" s="3" t="s">
        <v>562</v>
      </c>
      <c r="C6" s="3"/>
    </row>
    <row r="7" customFormat="false" ht="15" hidden="false" customHeight="false" outlineLevel="0" collapsed="false">
      <c r="A7" s="3" t="s">
        <v>329</v>
      </c>
      <c r="B7" s="3" t="s">
        <v>563</v>
      </c>
      <c r="C7" s="3" t="s">
        <v>564</v>
      </c>
    </row>
    <row r="8" customFormat="false" ht="15" hidden="false" customHeight="false" outlineLevel="0" collapsed="false">
      <c r="A8" s="3" t="s">
        <v>565</v>
      </c>
      <c r="B8" s="3" t="s">
        <v>566</v>
      </c>
      <c r="C8" s="3" t="s">
        <v>567</v>
      </c>
    </row>
    <row r="9" customFormat="false" ht="15" hidden="false" customHeight="false" outlineLevel="0" collapsed="false">
      <c r="A9" s="3" t="s">
        <v>568</v>
      </c>
      <c r="B9" s="3" t="s">
        <v>569</v>
      </c>
      <c r="C9" s="3"/>
    </row>
    <row r="10" customFormat="false" ht="15" hidden="false" customHeight="false" outlineLevel="0" collapsed="false">
      <c r="A10" s="3" t="s">
        <v>210</v>
      </c>
      <c r="B10" s="3" t="s">
        <v>570</v>
      </c>
      <c r="C10" s="3" t="s">
        <v>571</v>
      </c>
    </row>
    <row r="11" customFormat="false" ht="15" hidden="false" customHeight="false" outlineLevel="0" collapsed="false">
      <c r="A11" s="3" t="s">
        <v>572</v>
      </c>
      <c r="B11" s="3" t="s">
        <v>573</v>
      </c>
      <c r="C11" s="3" t="s">
        <v>574</v>
      </c>
    </row>
    <row r="12" customFormat="false" ht="15" hidden="false" customHeight="false" outlineLevel="0" collapsed="false">
      <c r="A12" s="3" t="s">
        <v>575</v>
      </c>
      <c r="B12" s="3" t="s">
        <v>576</v>
      </c>
      <c r="C12" s="3" t="s">
        <v>577</v>
      </c>
    </row>
    <row r="13" customFormat="false" ht="15" hidden="false" customHeight="false" outlineLevel="0" collapsed="false">
      <c r="A13" s="3" t="s">
        <v>578</v>
      </c>
      <c r="B13" s="3" t="s">
        <v>579</v>
      </c>
      <c r="C13" s="3" t="s">
        <v>580</v>
      </c>
    </row>
    <row r="14" customFormat="false" ht="15" hidden="false" customHeight="false" outlineLevel="0" collapsed="false">
      <c r="A14" s="3" t="s">
        <v>581</v>
      </c>
      <c r="B14" s="3" t="s">
        <v>582</v>
      </c>
      <c r="C14" s="3" t="s">
        <v>583</v>
      </c>
    </row>
    <row r="15" customFormat="false" ht="15" hidden="false" customHeight="false" outlineLevel="0" collapsed="false">
      <c r="A15" s="3" t="s">
        <v>584</v>
      </c>
      <c r="B15" s="3" t="s">
        <v>585</v>
      </c>
      <c r="C15" s="3" t="s">
        <v>586</v>
      </c>
    </row>
    <row r="16" customFormat="false" ht="15" hidden="false" customHeight="false" outlineLevel="0" collapsed="false">
      <c r="A16" s="3" t="s">
        <v>587</v>
      </c>
      <c r="B16" s="3" t="s">
        <v>588</v>
      </c>
      <c r="C16" s="3" t="s">
        <v>589</v>
      </c>
    </row>
    <row r="17" customFormat="false" ht="15" hidden="false" customHeight="false" outlineLevel="0" collapsed="false">
      <c r="A17" s="3" t="s">
        <v>590</v>
      </c>
      <c r="B17" s="3" t="s">
        <v>591</v>
      </c>
      <c r="C17" s="3" t="s">
        <v>592</v>
      </c>
    </row>
    <row r="18" customFormat="false" ht="15" hidden="false" customHeight="false" outlineLevel="0" collapsed="false">
      <c r="A18" s="3" t="s">
        <v>593</v>
      </c>
      <c r="B18" s="3" t="s">
        <v>594</v>
      </c>
      <c r="C18" s="3" t="s">
        <v>595</v>
      </c>
    </row>
    <row r="19" customFormat="false" ht="15" hidden="false" customHeight="false" outlineLevel="0" collapsed="false">
      <c r="A19" s="3" t="s">
        <v>596</v>
      </c>
      <c r="B19" s="3" t="s">
        <v>597</v>
      </c>
      <c r="C19" s="3" t="s">
        <v>598</v>
      </c>
    </row>
    <row r="20" customFormat="false" ht="15" hidden="false" customHeight="false" outlineLevel="0" collapsed="false">
      <c r="A20" s="3" t="s">
        <v>599</v>
      </c>
      <c r="B20" s="3" t="s">
        <v>600</v>
      </c>
      <c r="C20" s="3" t="s">
        <v>601</v>
      </c>
    </row>
    <row r="21" customFormat="false" ht="15" hidden="false" customHeight="false" outlineLevel="0" collapsed="false">
      <c r="A21" s="3" t="s">
        <v>602</v>
      </c>
      <c r="B21" s="3" t="s">
        <v>603</v>
      </c>
      <c r="C21" s="3" t="s">
        <v>604</v>
      </c>
    </row>
    <row r="22" customFormat="false" ht="15" hidden="false" customHeight="false" outlineLevel="0" collapsed="false">
      <c r="A22" s="3" t="s">
        <v>605</v>
      </c>
      <c r="B22" s="3" t="s">
        <v>606</v>
      </c>
      <c r="C22" s="3" t="s">
        <v>607</v>
      </c>
    </row>
    <row r="23" customFormat="false" ht="15" hidden="false" customHeight="false" outlineLevel="0" collapsed="false">
      <c r="A23" s="3" t="s">
        <v>608</v>
      </c>
      <c r="B23" s="3" t="s">
        <v>609</v>
      </c>
      <c r="C23" s="3" t="s">
        <v>610</v>
      </c>
    </row>
    <row r="24" customFormat="false" ht="15" hidden="false" customHeight="false" outlineLevel="0" collapsed="false">
      <c r="A24" s="3" t="s">
        <v>611</v>
      </c>
      <c r="B24" s="3" t="s">
        <v>612</v>
      </c>
      <c r="C24" s="3" t="s">
        <v>613</v>
      </c>
    </row>
    <row r="25" customFormat="false" ht="15" hidden="false" customHeight="false" outlineLevel="0" collapsed="false">
      <c r="A25" s="3" t="s">
        <v>614</v>
      </c>
      <c r="B25" s="3" t="s">
        <v>615</v>
      </c>
      <c r="C25" s="3" t="s">
        <v>616</v>
      </c>
    </row>
    <row r="26" customFormat="false" ht="15" hidden="false" customHeight="false" outlineLevel="0" collapsed="false">
      <c r="A26" s="3" t="s">
        <v>541</v>
      </c>
      <c r="B26" s="3" t="s">
        <v>617</v>
      </c>
      <c r="C26" s="3" t="s">
        <v>618</v>
      </c>
    </row>
    <row r="27" customFormat="false" ht="15" hidden="false" customHeight="false" outlineLevel="0" collapsed="false">
      <c r="A27" s="3" t="s">
        <v>619</v>
      </c>
      <c r="B27" s="3" t="s">
        <v>620</v>
      </c>
      <c r="C27" s="3" t="s">
        <v>621</v>
      </c>
    </row>
    <row r="28" customFormat="false" ht="15" hidden="false" customHeight="false" outlineLevel="0" collapsed="false">
      <c r="A28" s="3" t="s">
        <v>622</v>
      </c>
      <c r="B28" s="3" t="s">
        <v>623</v>
      </c>
      <c r="C28" s="3" t="s">
        <v>624</v>
      </c>
    </row>
    <row r="29" customFormat="false" ht="15" hidden="false" customHeight="false" outlineLevel="0" collapsed="false">
      <c r="A29" s="3" t="s">
        <v>625</v>
      </c>
      <c r="B29" s="3" t="s">
        <v>626</v>
      </c>
      <c r="C29" s="3"/>
    </row>
    <row r="30" customFormat="false" ht="15" hidden="false" customHeight="false" outlineLevel="0" collapsed="false">
      <c r="A30" s="3" t="s">
        <v>246</v>
      </c>
      <c r="B30" s="3" t="s">
        <v>627</v>
      </c>
      <c r="C30" s="3" t="s">
        <v>628</v>
      </c>
    </row>
    <row r="31" customFormat="false" ht="15" hidden="false" customHeight="false" outlineLevel="0" collapsed="false">
      <c r="A31" s="3" t="s">
        <v>629</v>
      </c>
      <c r="B31" s="3" t="s">
        <v>630</v>
      </c>
      <c r="C31" s="3"/>
    </row>
    <row r="32" customFormat="false" ht="15" hidden="false" customHeight="false" outlineLevel="0" collapsed="false">
      <c r="A32" s="3" t="s">
        <v>631</v>
      </c>
      <c r="B32" s="3" t="s">
        <v>632</v>
      </c>
      <c r="C32" s="3"/>
    </row>
    <row r="33" customFormat="false" ht="15" hidden="false" customHeight="false" outlineLevel="0" collapsed="false">
      <c r="A33" s="3" t="s">
        <v>633</v>
      </c>
      <c r="B33" s="3" t="s">
        <v>634</v>
      </c>
      <c r="C33" s="3"/>
    </row>
    <row r="34" customFormat="false" ht="15" hidden="false" customHeight="false" outlineLevel="0" collapsed="false">
      <c r="A34" s="3" t="s">
        <v>635</v>
      </c>
      <c r="B34" s="3" t="s">
        <v>636</v>
      </c>
      <c r="C34" s="3" t="s">
        <v>637</v>
      </c>
    </row>
    <row r="35" customFormat="false" ht="15" hidden="false" customHeight="false" outlineLevel="0" collapsed="false">
      <c r="A35" s="3" t="s">
        <v>638</v>
      </c>
      <c r="B35" s="3" t="s">
        <v>639</v>
      </c>
      <c r="C35" s="3"/>
    </row>
    <row r="36" customFormat="false" ht="15" hidden="false" customHeight="false" outlineLevel="0" collapsed="false">
      <c r="A36" s="3" t="s">
        <v>640</v>
      </c>
      <c r="B36" s="3" t="s">
        <v>641</v>
      </c>
      <c r="C36" s="3"/>
    </row>
    <row r="37" customFormat="false" ht="15" hidden="false" customHeight="false" outlineLevel="0" collapsed="false">
      <c r="A37" s="3" t="s">
        <v>642</v>
      </c>
      <c r="B37" s="3" t="s">
        <v>643</v>
      </c>
      <c r="C37" s="3"/>
    </row>
    <row r="38" customFormat="false" ht="15" hidden="false" customHeight="false" outlineLevel="0" collapsed="false">
      <c r="A38" s="3" t="s">
        <v>644</v>
      </c>
      <c r="B38" s="3" t="s">
        <v>645</v>
      </c>
      <c r="C38" s="3"/>
    </row>
    <row r="39" customFormat="false" ht="15" hidden="false" customHeight="false" outlineLevel="0" collapsed="false">
      <c r="A39" s="3" t="s">
        <v>646</v>
      </c>
      <c r="B39" s="3" t="s">
        <v>647</v>
      </c>
      <c r="C39" s="3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2026-10-02T12:25:49Z</dcterms:created>
  <dc:creator>openpyxl</dc:creator>
  <dc:description/>
  <dc:language>en-US</dc:language>
  <cp:lastModifiedBy/>
  <dcterms:modified xsi:type="dcterms:W3CDTF">2026-10-02T12:25:49Z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